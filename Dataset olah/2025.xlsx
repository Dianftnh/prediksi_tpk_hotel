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<sst xmlns="http://schemas.openxmlformats.org/spreadsheetml/2006/main" count="28" uniqueCount="28">
  <si>
    <t>Tahun</t>
  </si>
  <si>
    <t>Bulan</t>
  </si>
  <si>
    <t>Provinsi</t>
  </si>
  <si>
    <t>Jenis</t>
  </si>
  <si>
    <t>room</t>
  </si>
  <si>
    <t>bed</t>
  </si>
  <si>
    <t>room_yesterday</t>
  </si>
  <si>
    <t>room_in</t>
  </si>
  <si>
    <t>room_out</t>
  </si>
  <si>
    <t>wna_yesterday</t>
  </si>
  <si>
    <t>wni_yesterday</t>
  </si>
  <si>
    <t>wna_in/jml_tamu_asing</t>
  </si>
  <si>
    <t>wni_in/jml_tamu_nusantara</t>
  </si>
  <si>
    <t>wna_out</t>
  </si>
  <si>
    <t>wni_out</t>
  </si>
  <si>
    <t>MKTS</t>
  </si>
  <si>
    <t>MKTJ</t>
  </si>
  <si>
    <t>TPK</t>
  </si>
  <si>
    <t>MTA</t>
  </si>
  <si>
    <t>TA</t>
  </si>
  <si>
    <t>RLMTA</t>
  </si>
  <si>
    <t>MTNUS</t>
  </si>
  <si>
    <t>TNUS</t>
  </si>
  <si>
    <t>RLMTNUS</t>
  </si>
  <si>
    <t>MTGAB</t>
  </si>
  <si>
    <t>TGAB</t>
  </si>
  <si>
    <t>RLMTGAB</t>
  </si>
  <si>
    <t>TPTT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</si>
</sst>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  <font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/>
      <right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3" xfId="0" applyAlignment="1" applyFont="1" applyNumberFormat="1">
      <alignment readingOrder="0" vertical="bottom"/>
    </xf>
    <xf borderId="0" fillId="0" fontId="1" numFmtId="3" xfId="0" applyAlignment="1" applyFont="1" applyNumberFormat="1">
      <alignment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2" numFmtId="3" xfId="0" applyAlignment="1" applyFont="1" applyNumberFormat="1">
      <alignment horizontal="right" vertical="bottom"/>
    </xf>
    <xf borderId="0" fillId="0" fontId="3" numFmtId="3" xfId="0" applyAlignment="1" applyFont="1" applyNumberFormat="1">
      <alignment horizontal="right" readingOrder="0" vertical="bottom"/>
    </xf>
    <xf borderId="0" fillId="0" fontId="3" numFmtId="2" xfId="0" applyAlignment="1" applyFont="1" applyNumberFormat="1">
      <alignment horizontal="right" vertical="bottom"/>
    </xf>
    <xf borderId="0" fillId="0" fontId="2" numFmtId="3" xfId="0" applyAlignment="1" applyFont="1" applyNumberFormat="1">
      <alignment horizontal="right" readingOrder="0" vertical="bottom"/>
    </xf>
    <xf borderId="0" fillId="0" fontId="2" numFmtId="0" xfId="0" applyAlignment="1" applyFont="1">
      <alignment horizontal="center" vertical="bottom"/>
    </xf>
    <xf borderId="0" fillId="0" fontId="3" numFmtId="3" xfId="0" applyAlignment="1" applyFont="1" applyNumberFormat="1">
      <alignment horizontal="right" vertical="bottom"/>
    </xf>
    <xf borderId="0" fillId="0" fontId="3" numFmtId="4" xfId="0" applyAlignment="1" applyFont="1" applyNumberFormat="1">
      <alignment horizontal="right" vertical="bottom"/>
    </xf>
    <xf borderId="0" fillId="0" fontId="2" numFmtId="3" xfId="0" applyAlignment="1" applyFont="1" applyNumberFormat="1">
      <alignment vertical="bottom"/>
    </xf>
    <xf borderId="0" fillId="0" fontId="2" numFmtId="164" xfId="0" applyAlignment="1" applyFont="1" applyNumberFormat="1">
      <alignment horizontal="center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4" xfId="0" applyAlignment="1" applyFont="1" applyNumberFormat="1">
      <alignment vertical="bottom"/>
    </xf>
    <xf borderId="2" fillId="0" fontId="2" numFmtId="0" xfId="0" applyAlignment="1" applyBorder="1" applyFont="1">
      <alignment vertical="bottom"/>
    </xf>
    <xf borderId="0" fillId="0" fontId="4" numFmtId="3" xfId="0" applyAlignment="1" applyFont="1" applyNumberFormat="1">
      <alignment readingOrder="0"/>
    </xf>
    <xf borderId="0" fillId="0" fontId="5" numFmtId="3" xfId="0" applyAlignment="1" applyFont="1" applyNumberFormat="1">
      <alignment readingOrder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2" xfId="0" applyAlignment="1" applyFont="1" applyNumberFormat="1">
      <alignment vertical="bottom"/>
    </xf>
    <xf borderId="0" fillId="0" fontId="2" numFmtId="3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8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1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</row>
    <row r="2">
      <c r="A2" s="5">
        <v>2025.0</v>
      </c>
      <c r="B2" s="6">
        <v>1.0</v>
      </c>
      <c r="C2" s="6">
        <v>18.0</v>
      </c>
      <c r="D2" s="5">
        <v>1.0</v>
      </c>
      <c r="E2" s="7">
        <v>134850.0</v>
      </c>
      <c r="F2" s="7">
        <v>254231.0</v>
      </c>
      <c r="G2" s="7">
        <v>56893.0</v>
      </c>
      <c r="H2" s="7">
        <v>46788.0</v>
      </c>
      <c r="I2" s="7">
        <v>48435.0</v>
      </c>
      <c r="J2" s="7">
        <v>779.0</v>
      </c>
      <c r="K2" s="7">
        <v>106674.0</v>
      </c>
      <c r="L2" s="7">
        <v>458.0</v>
      </c>
      <c r="M2" s="7">
        <v>89026.0</v>
      </c>
      <c r="N2" s="7">
        <v>446.0</v>
      </c>
      <c r="O2" s="7">
        <v>92193.0</v>
      </c>
      <c r="P2" s="8">
        <v>134850.0</v>
      </c>
      <c r="Q2" s="8">
        <v>55245.0</v>
      </c>
      <c r="R2" s="9">
        <f>Q2/P2*100</f>
        <v>40.96774194</v>
      </c>
      <c r="S2" s="10">
        <v>791.0</v>
      </c>
      <c r="T2" s="10">
        <v>458.0</v>
      </c>
      <c r="U2" s="11">
        <f t="shared" ref="U2:U11" si="2">S2/T2</f>
        <v>1.727074236</v>
      </c>
      <c r="V2" s="10">
        <v>103507.0</v>
      </c>
      <c r="W2" s="10">
        <v>89026.0</v>
      </c>
      <c r="X2" s="6">
        <f t="shared" ref="X2:X11" si="3">V2/W2</f>
        <v>1.162660346</v>
      </c>
      <c r="Y2" s="7">
        <f t="shared" ref="Y2:Z2" si="1">S2+V2</f>
        <v>104298</v>
      </c>
      <c r="Z2" s="7">
        <f t="shared" si="1"/>
        <v>89484</v>
      </c>
      <c r="AA2" s="6">
        <f t="shared" ref="AA2:AA11" si="4">Y2/Z2</f>
        <v>1.165549148</v>
      </c>
      <c r="AB2" s="6">
        <f t="shared" ref="AB2:AB11" si="5">Y2/F2*100</f>
        <v>41.02489468</v>
      </c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</row>
    <row r="3">
      <c r="A3" s="5">
        <v>2025.0</v>
      </c>
      <c r="B3" s="5">
        <v>1.0</v>
      </c>
      <c r="C3" s="5">
        <v>18.0</v>
      </c>
      <c r="D3" s="5">
        <v>2.0</v>
      </c>
      <c r="E3" s="7">
        <v>182820.0</v>
      </c>
      <c r="F3" s="7">
        <v>325349.0</v>
      </c>
      <c r="G3" s="7">
        <v>47306.0</v>
      </c>
      <c r="H3" s="7">
        <v>42939.0</v>
      </c>
      <c r="I3" s="7">
        <v>43966.0</v>
      </c>
      <c r="J3" s="7">
        <v>216.0</v>
      </c>
      <c r="K3" s="7">
        <v>90892.0</v>
      </c>
      <c r="L3" s="7">
        <v>56.0</v>
      </c>
      <c r="M3" s="7">
        <v>82504.0</v>
      </c>
      <c r="N3" s="7">
        <v>43.0</v>
      </c>
      <c r="O3" s="7">
        <v>84521.0</v>
      </c>
      <c r="P3" s="12">
        <v>182820.0</v>
      </c>
      <c r="Q3" s="12">
        <v>46279.0</v>
      </c>
      <c r="R3" s="13">
        <v>25.31397002516136</v>
      </c>
      <c r="S3" s="10">
        <f>J3+L3-N3</f>
        <v>229</v>
      </c>
      <c r="T3" s="10">
        <f>L3</f>
        <v>56</v>
      </c>
      <c r="U3" s="11">
        <f t="shared" si="2"/>
        <v>4.089285714</v>
      </c>
      <c r="V3" s="10">
        <f>K3+M3-O3</f>
        <v>88875</v>
      </c>
      <c r="W3" s="10">
        <f>M3</f>
        <v>82504</v>
      </c>
      <c r="X3" s="6">
        <f t="shared" si="3"/>
        <v>1.077220498</v>
      </c>
      <c r="Y3" s="7">
        <f>V3+S3</f>
        <v>89104</v>
      </c>
      <c r="Z3" s="7">
        <f>T3+W3</f>
        <v>82560</v>
      </c>
      <c r="AA3" s="6">
        <f t="shared" si="4"/>
        <v>1.079263566</v>
      </c>
      <c r="AB3" s="6">
        <f t="shared" si="5"/>
        <v>27.38720574</v>
      </c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</row>
    <row r="4">
      <c r="A4" s="5">
        <v>2025.0</v>
      </c>
      <c r="B4" s="5">
        <v>2.0</v>
      </c>
      <c r="C4" s="6">
        <v>18.0</v>
      </c>
      <c r="D4" s="5">
        <v>1.0</v>
      </c>
      <c r="E4" s="7">
        <v>120988.0</v>
      </c>
      <c r="F4" s="7">
        <v>229432.0</v>
      </c>
      <c r="G4" s="7">
        <v>46375.0</v>
      </c>
      <c r="H4" s="7">
        <v>36173.0</v>
      </c>
      <c r="I4" s="7">
        <v>36938.0</v>
      </c>
      <c r="J4" s="7">
        <v>948.0</v>
      </c>
      <c r="K4" s="7">
        <v>89911.0</v>
      </c>
      <c r="L4" s="7">
        <v>534.0</v>
      </c>
      <c r="M4" s="7">
        <v>68815.0</v>
      </c>
      <c r="N4" s="7">
        <v>510.0</v>
      </c>
      <c r="O4" s="7">
        <v>70205.0</v>
      </c>
      <c r="P4" s="8">
        <v>120988.0</v>
      </c>
      <c r="Q4" s="8">
        <v>45610.0</v>
      </c>
      <c r="R4" s="9">
        <f t="shared" ref="R4:R11" si="7">Q4/P4*100</f>
        <v>37.69795352</v>
      </c>
      <c r="S4" s="10">
        <v>972.0</v>
      </c>
      <c r="T4" s="10">
        <v>534.0</v>
      </c>
      <c r="U4" s="11">
        <f t="shared" si="2"/>
        <v>1.820224719</v>
      </c>
      <c r="V4" s="10">
        <v>88521.0</v>
      </c>
      <c r="W4" s="10">
        <v>68815.0</v>
      </c>
      <c r="X4" s="6">
        <f t="shared" si="3"/>
        <v>1.286361985</v>
      </c>
      <c r="Y4" s="7">
        <f t="shared" ref="Y4:Z4" si="6">S4+V4</f>
        <v>89493</v>
      </c>
      <c r="Z4" s="7">
        <f t="shared" si="6"/>
        <v>69349</v>
      </c>
      <c r="AA4" s="6">
        <f t="shared" si="4"/>
        <v>1.290472826</v>
      </c>
      <c r="AB4" s="6">
        <f t="shared" si="5"/>
        <v>39.00632867</v>
      </c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</row>
    <row r="5">
      <c r="A5" s="5">
        <v>2025.0</v>
      </c>
      <c r="B5" s="5">
        <v>2.0</v>
      </c>
      <c r="C5" s="5">
        <v>18.0</v>
      </c>
      <c r="D5" s="5">
        <v>2.0</v>
      </c>
      <c r="E5" s="7">
        <v>174454.0</v>
      </c>
      <c r="F5" s="7">
        <v>310755.0</v>
      </c>
      <c r="G5" s="7">
        <v>40011.0</v>
      </c>
      <c r="H5" s="7">
        <v>36032.0</v>
      </c>
      <c r="I5" s="7">
        <v>36206.0</v>
      </c>
      <c r="J5" s="7">
        <v>434.0</v>
      </c>
      <c r="K5" s="7">
        <v>76879.0</v>
      </c>
      <c r="L5" s="7">
        <v>105.0</v>
      </c>
      <c r="M5" s="7">
        <v>69287.0</v>
      </c>
      <c r="N5" s="7">
        <v>105.0</v>
      </c>
      <c r="O5" s="7">
        <v>69594.0</v>
      </c>
      <c r="P5" s="12">
        <v>174454.0</v>
      </c>
      <c r="Q5" s="12">
        <v>39837.0</v>
      </c>
      <c r="R5" s="9">
        <f t="shared" si="7"/>
        <v>22.83524597</v>
      </c>
      <c r="S5" s="10">
        <f>J5+L5-N5</f>
        <v>434</v>
      </c>
      <c r="T5" s="10">
        <f>L5</f>
        <v>105</v>
      </c>
      <c r="U5" s="11">
        <f t="shared" si="2"/>
        <v>4.133333333</v>
      </c>
      <c r="V5" s="10">
        <f>K5+M5-O5</f>
        <v>76572</v>
      </c>
      <c r="W5" s="10">
        <f>M5</f>
        <v>69287</v>
      </c>
      <c r="X5" s="6">
        <f t="shared" si="3"/>
        <v>1.105142379</v>
      </c>
      <c r="Y5" s="7">
        <f t="shared" ref="Y5:Z5" si="8">V5+S5</f>
        <v>77006</v>
      </c>
      <c r="Z5" s="7">
        <f t="shared" si="8"/>
        <v>69392</v>
      </c>
      <c r="AA5" s="6">
        <f t="shared" si="4"/>
        <v>1.109724464</v>
      </c>
      <c r="AB5" s="6">
        <f t="shared" si="5"/>
        <v>24.78029316</v>
      </c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</row>
    <row r="6">
      <c r="A6" s="5">
        <v>2025.0</v>
      </c>
      <c r="B6" s="5">
        <v>3.0</v>
      </c>
      <c r="C6" s="6">
        <v>18.0</v>
      </c>
      <c r="D6" s="5">
        <v>1.0</v>
      </c>
      <c r="E6" s="14">
        <v>137206.0</v>
      </c>
      <c r="F6" s="14">
        <v>260152.0</v>
      </c>
      <c r="G6" s="14">
        <v>36070.0</v>
      </c>
      <c r="H6" s="14">
        <v>26854.0</v>
      </c>
      <c r="I6" s="14">
        <v>25741.0</v>
      </c>
      <c r="J6" s="14">
        <v>1026.0</v>
      </c>
      <c r="K6" s="14">
        <v>70054.0</v>
      </c>
      <c r="L6" s="14">
        <v>430.0</v>
      </c>
      <c r="M6" s="14">
        <v>50328.0</v>
      </c>
      <c r="N6" s="14">
        <v>440.0</v>
      </c>
      <c r="O6" s="14">
        <v>48054.0</v>
      </c>
      <c r="P6" s="8">
        <v>137206.0</v>
      </c>
      <c r="Q6" s="8">
        <v>37183.0</v>
      </c>
      <c r="R6" s="9">
        <f t="shared" si="7"/>
        <v>27.10012682</v>
      </c>
      <c r="S6" s="10">
        <v>1016.0</v>
      </c>
      <c r="T6" s="10">
        <v>430.0</v>
      </c>
      <c r="U6" s="11">
        <f t="shared" si="2"/>
        <v>2.362790698</v>
      </c>
      <c r="V6" s="10">
        <v>71328.0</v>
      </c>
      <c r="W6" s="10">
        <v>50328.0</v>
      </c>
      <c r="X6" s="6">
        <f t="shared" si="3"/>
        <v>1.417262756</v>
      </c>
      <c r="Y6" s="7">
        <f t="shared" ref="Y6:Z6" si="9">S6+V6</f>
        <v>72344</v>
      </c>
      <c r="Z6" s="7">
        <f t="shared" si="9"/>
        <v>50758</v>
      </c>
      <c r="AA6" s="6">
        <f t="shared" si="4"/>
        <v>1.425272863</v>
      </c>
      <c r="AB6" s="6">
        <f t="shared" si="5"/>
        <v>27.80835819</v>
      </c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</row>
    <row r="7">
      <c r="A7" s="5">
        <v>2025.0</v>
      </c>
      <c r="B7" s="5">
        <v>3.0</v>
      </c>
      <c r="C7" s="5">
        <v>18.0</v>
      </c>
      <c r="D7" s="5">
        <v>2.0</v>
      </c>
      <c r="E7" s="14">
        <v>181733.0</v>
      </c>
      <c r="F7" s="14">
        <v>323718.0</v>
      </c>
      <c r="G7" s="14">
        <v>30378.0</v>
      </c>
      <c r="H7" s="14">
        <v>27701.0</v>
      </c>
      <c r="I7" s="14">
        <v>27688.0</v>
      </c>
      <c r="J7" s="14">
        <v>118.0</v>
      </c>
      <c r="K7" s="14">
        <v>58207.0</v>
      </c>
      <c r="L7" s="14">
        <v>31.0</v>
      </c>
      <c r="M7" s="14">
        <v>53126.0</v>
      </c>
      <c r="N7" s="14">
        <v>31.0</v>
      </c>
      <c r="O7" s="14">
        <v>53132.0</v>
      </c>
      <c r="P7" s="10">
        <f>E7</f>
        <v>181733</v>
      </c>
      <c r="Q7" s="10">
        <f>G7+H7-I7</f>
        <v>30391</v>
      </c>
      <c r="R7" s="9">
        <f t="shared" si="7"/>
        <v>16.72288467</v>
      </c>
      <c r="S7" s="10">
        <f>J7+L7-N7</f>
        <v>118</v>
      </c>
      <c r="T7" s="10">
        <f>L7</f>
        <v>31</v>
      </c>
      <c r="U7" s="11">
        <f t="shared" si="2"/>
        <v>3.806451613</v>
      </c>
      <c r="V7" s="10">
        <f>K7+M7-O7</f>
        <v>58201</v>
      </c>
      <c r="W7" s="10">
        <f>M7</f>
        <v>53126</v>
      </c>
      <c r="X7" s="6">
        <f t="shared" si="3"/>
        <v>1.095527614</v>
      </c>
      <c r="Y7" s="7">
        <f t="shared" ref="Y7:Z7" si="10">V7+S7</f>
        <v>58319</v>
      </c>
      <c r="Z7" s="7">
        <f t="shared" si="10"/>
        <v>53157</v>
      </c>
      <c r="AA7" s="6">
        <f t="shared" si="4"/>
        <v>1.097108565</v>
      </c>
      <c r="AB7" s="6">
        <f t="shared" si="5"/>
        <v>18.0153714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</row>
    <row r="8">
      <c r="A8" s="5">
        <v>2025.0</v>
      </c>
      <c r="B8" s="5">
        <v>4.0</v>
      </c>
      <c r="C8" s="6">
        <v>18.0</v>
      </c>
      <c r="D8" s="5">
        <v>1.0</v>
      </c>
      <c r="E8" s="7">
        <v>133740.0</v>
      </c>
      <c r="F8" s="7">
        <v>252930.0</v>
      </c>
      <c r="G8" s="7">
        <v>58536.0</v>
      </c>
      <c r="H8" s="7">
        <v>44866.0</v>
      </c>
      <c r="I8" s="7">
        <v>45326.0</v>
      </c>
      <c r="J8" s="7">
        <v>1017.0</v>
      </c>
      <c r="K8" s="7">
        <v>118229.0</v>
      </c>
      <c r="L8" s="7">
        <v>450.0</v>
      </c>
      <c r="M8" s="7">
        <v>85389.0</v>
      </c>
      <c r="N8" s="7">
        <v>459.0</v>
      </c>
      <c r="O8" s="7">
        <v>86026.0</v>
      </c>
      <c r="P8" s="10">
        <v>133740.0</v>
      </c>
      <c r="Q8" s="10">
        <v>58076.0</v>
      </c>
      <c r="R8" s="9">
        <f t="shared" si="7"/>
        <v>43.42455511</v>
      </c>
      <c r="S8" s="10">
        <v>1008.0</v>
      </c>
      <c r="T8" s="10">
        <v>450.0</v>
      </c>
      <c r="U8" s="11">
        <f t="shared" si="2"/>
        <v>2.24</v>
      </c>
      <c r="V8" s="10">
        <v>117592.0</v>
      </c>
      <c r="W8" s="10">
        <v>85389.0</v>
      </c>
      <c r="X8" s="6">
        <f t="shared" si="3"/>
        <v>1.377132886</v>
      </c>
      <c r="Y8" s="7">
        <f t="shared" ref="Y8:Z8" si="11">S8+V8</f>
        <v>118600</v>
      </c>
      <c r="Z8" s="7">
        <f t="shared" si="11"/>
        <v>85839</v>
      </c>
      <c r="AA8" s="6">
        <f t="shared" si="4"/>
        <v>1.381656357</v>
      </c>
      <c r="AB8" s="6">
        <f t="shared" si="5"/>
        <v>46.890444</v>
      </c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</row>
    <row r="9">
      <c r="A9" s="5">
        <v>2025.0</v>
      </c>
      <c r="B9" s="5">
        <v>4.0</v>
      </c>
      <c r="C9" s="5">
        <v>18.0</v>
      </c>
      <c r="D9" s="5">
        <v>2.0</v>
      </c>
      <c r="E9" s="7">
        <v>222976.0</v>
      </c>
      <c r="F9" s="7">
        <v>398694.0</v>
      </c>
      <c r="G9" s="7">
        <v>58222.0</v>
      </c>
      <c r="H9" s="7">
        <v>53851.0</v>
      </c>
      <c r="I9" s="7">
        <v>53729.0</v>
      </c>
      <c r="J9" s="7">
        <v>668.0</v>
      </c>
      <c r="K9" s="7">
        <v>110690.0</v>
      </c>
      <c r="L9" s="7">
        <v>156.0</v>
      </c>
      <c r="M9" s="7">
        <v>102652.0</v>
      </c>
      <c r="N9" s="7">
        <v>156.0</v>
      </c>
      <c r="O9" s="7">
        <v>102367.0</v>
      </c>
      <c r="P9" s="7">
        <f t="shared" ref="P9:P11" si="12">E9</f>
        <v>222976</v>
      </c>
      <c r="Q9" s="10">
        <f t="shared" ref="Q9:Q11" si="13">G9+H9-I9</f>
        <v>58344</v>
      </c>
      <c r="R9" s="9">
        <f t="shared" si="7"/>
        <v>26.16604478</v>
      </c>
      <c r="S9" s="10">
        <f>J9+L9-N9</f>
        <v>668</v>
      </c>
      <c r="T9" s="10">
        <f>L9</f>
        <v>156</v>
      </c>
      <c r="U9" s="11">
        <f t="shared" si="2"/>
        <v>4.282051282</v>
      </c>
      <c r="V9" s="10">
        <f>K9+M9-O9</f>
        <v>110975</v>
      </c>
      <c r="W9" s="10">
        <f>M9</f>
        <v>102652</v>
      </c>
      <c r="X9" s="6">
        <f t="shared" si="3"/>
        <v>1.081079765</v>
      </c>
      <c r="Y9" s="7">
        <f>V9+S9</f>
        <v>111643</v>
      </c>
      <c r="Z9" s="7">
        <f>T9+W9</f>
        <v>102808</v>
      </c>
      <c r="AA9" s="6">
        <f t="shared" si="4"/>
        <v>1.085936892</v>
      </c>
      <c r="AB9" s="6">
        <f t="shared" si="5"/>
        <v>28.00217711</v>
      </c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</row>
    <row r="10">
      <c r="A10" s="5">
        <v>2025.0</v>
      </c>
      <c r="B10" s="5">
        <v>5.0</v>
      </c>
      <c r="C10" s="6">
        <v>18.0</v>
      </c>
      <c r="D10" s="5">
        <v>1.0</v>
      </c>
      <c r="E10" s="7">
        <v>137002.0</v>
      </c>
      <c r="F10" s="7">
        <v>257140.0</v>
      </c>
      <c r="G10" s="7">
        <v>58140.0</v>
      </c>
      <c r="H10" s="7">
        <v>46558.0</v>
      </c>
      <c r="I10" s="7">
        <v>45868.0</v>
      </c>
      <c r="J10" s="7">
        <v>1848.0</v>
      </c>
      <c r="K10" s="7">
        <v>111895.0</v>
      </c>
      <c r="L10" s="7">
        <v>1248.0</v>
      </c>
      <c r="M10" s="7">
        <v>90690.0</v>
      </c>
      <c r="N10" s="7">
        <v>1224.0</v>
      </c>
      <c r="O10" s="7">
        <v>89342.0</v>
      </c>
      <c r="P10" s="7">
        <f t="shared" si="12"/>
        <v>137002</v>
      </c>
      <c r="Q10" s="7">
        <f t="shared" si="13"/>
        <v>58830</v>
      </c>
      <c r="R10" s="9">
        <f t="shared" si="7"/>
        <v>42.94097896</v>
      </c>
      <c r="S10" s="10">
        <v>1872.0</v>
      </c>
      <c r="T10" s="10">
        <v>1248.0</v>
      </c>
      <c r="U10" s="15">
        <f t="shared" si="2"/>
        <v>1.5</v>
      </c>
      <c r="V10" s="10">
        <v>113243.0</v>
      </c>
      <c r="W10" s="10">
        <v>90690.0</v>
      </c>
      <c r="X10" s="6">
        <f t="shared" si="3"/>
        <v>1.248682324</v>
      </c>
      <c r="Y10" s="7">
        <f t="shared" ref="Y10:Z10" si="14">S10+V10</f>
        <v>115115</v>
      </c>
      <c r="Z10" s="7">
        <f t="shared" si="14"/>
        <v>91938</v>
      </c>
      <c r="AA10" s="6">
        <f t="shared" si="4"/>
        <v>1.252093802</v>
      </c>
      <c r="AB10" s="6">
        <f t="shared" si="5"/>
        <v>44.76744186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</row>
    <row r="11">
      <c r="A11" s="5">
        <v>2025.0</v>
      </c>
      <c r="B11" s="5">
        <v>5.0</v>
      </c>
      <c r="C11" s="6">
        <v>18.0</v>
      </c>
      <c r="D11" s="5">
        <v>2.0</v>
      </c>
      <c r="E11" s="7">
        <v>232608.0</v>
      </c>
      <c r="F11" s="7">
        <v>417873.0</v>
      </c>
      <c r="G11" s="7">
        <v>56123.0</v>
      </c>
      <c r="H11" s="7">
        <v>53419.0</v>
      </c>
      <c r="I11" s="7">
        <v>53102.0</v>
      </c>
      <c r="J11" s="7">
        <v>564.0</v>
      </c>
      <c r="K11" s="7">
        <v>107287.0</v>
      </c>
      <c r="L11" s="7">
        <v>140.0</v>
      </c>
      <c r="M11" s="7">
        <v>102398.0</v>
      </c>
      <c r="N11" s="7">
        <v>140.0</v>
      </c>
      <c r="O11" s="7">
        <v>101824.0</v>
      </c>
      <c r="P11" s="7">
        <f t="shared" si="12"/>
        <v>232608</v>
      </c>
      <c r="Q11" s="7">
        <f t="shared" si="13"/>
        <v>56440</v>
      </c>
      <c r="R11" s="9">
        <f t="shared" si="7"/>
        <v>24.2639978</v>
      </c>
      <c r="S11" s="7">
        <f>J11+L11-N11</f>
        <v>564</v>
      </c>
      <c r="T11" s="7">
        <f>L11</f>
        <v>140</v>
      </c>
      <c r="U11" s="11">
        <f t="shared" si="2"/>
        <v>4.028571429</v>
      </c>
      <c r="V11" s="7">
        <f>K11+M11-O11</f>
        <v>107861</v>
      </c>
      <c r="W11" s="7">
        <f>M11</f>
        <v>102398</v>
      </c>
      <c r="X11" s="6">
        <f t="shared" si="3"/>
        <v>1.053350651</v>
      </c>
      <c r="Y11" s="7">
        <f t="shared" ref="Y11:Z11" si="15">S11+V11</f>
        <v>108425</v>
      </c>
      <c r="Z11" s="7">
        <f t="shared" si="15"/>
        <v>102538</v>
      </c>
      <c r="AA11" s="6">
        <f t="shared" si="4"/>
        <v>1.057412862</v>
      </c>
      <c r="AB11" s="6">
        <f t="shared" si="5"/>
        <v>25.9468786</v>
      </c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</row>
    <row r="12">
      <c r="A12" s="5"/>
      <c r="B12" s="5"/>
      <c r="C12" s="6"/>
      <c r="D12" s="5"/>
      <c r="E12" s="7"/>
      <c r="F12" s="7"/>
      <c r="G12" s="7"/>
      <c r="H12" s="7"/>
      <c r="I12" s="7"/>
      <c r="J12" s="7"/>
      <c r="K12" s="7"/>
      <c r="L12" s="16"/>
      <c r="M12" s="16"/>
      <c r="N12" s="16"/>
      <c r="O12" s="16"/>
      <c r="P12" s="16"/>
      <c r="Q12" s="17"/>
      <c r="R12" s="9"/>
      <c r="S12" s="7"/>
      <c r="T12" s="7"/>
      <c r="U12" s="11"/>
      <c r="V12" s="7"/>
      <c r="W12" s="7"/>
      <c r="X12" s="6"/>
      <c r="Y12" s="7"/>
      <c r="Z12" s="7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</row>
    <row r="13">
      <c r="A13" s="5"/>
      <c r="B13" s="5"/>
      <c r="C13" s="6"/>
      <c r="L13" s="16"/>
      <c r="M13" s="16"/>
      <c r="N13" s="16"/>
      <c r="O13" s="18"/>
      <c r="P13" s="12"/>
      <c r="Q13" s="19"/>
      <c r="R13" s="9"/>
    </row>
    <row r="14">
      <c r="A14" s="5"/>
      <c r="B14" s="5"/>
      <c r="C14" s="6"/>
      <c r="N14" s="16"/>
      <c r="P14" s="12"/>
      <c r="Q14" s="19"/>
      <c r="R14" s="9"/>
    </row>
    <row r="15">
      <c r="A15" s="5"/>
      <c r="B15" s="5"/>
      <c r="C15" s="6"/>
      <c r="N15" s="16"/>
      <c r="P15" s="20"/>
      <c r="Q15" s="19"/>
      <c r="R15" s="9"/>
    </row>
    <row r="16">
      <c r="A16" s="5"/>
      <c r="B16" s="5"/>
      <c r="C16" s="6"/>
      <c r="P16" s="21"/>
      <c r="Q16" s="19"/>
      <c r="R16" s="9"/>
    </row>
    <row r="17">
      <c r="A17" s="5"/>
      <c r="B17" s="5"/>
      <c r="C17" s="6"/>
      <c r="P17" s="21"/>
      <c r="Q17" s="19"/>
      <c r="R17" s="9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</row>
    <row r="20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</row>
    <row r="2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</row>
    <row r="22">
      <c r="A22" s="16"/>
      <c r="B22" s="16"/>
      <c r="C22" s="1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11"/>
      <c r="Y22" s="6"/>
      <c r="Z22" s="6"/>
      <c r="AA22" s="6"/>
    </row>
    <row r="2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</row>
    <row r="24">
      <c r="A24" s="16"/>
      <c r="B24" s="16"/>
      <c r="C24" s="16"/>
      <c r="D24" s="6"/>
      <c r="E24" s="16"/>
      <c r="F24" s="6"/>
      <c r="G24" s="16"/>
      <c r="H24" s="6"/>
      <c r="I24" s="16"/>
      <c r="J24" s="6"/>
      <c r="K24" s="16"/>
      <c r="L24" s="6"/>
      <c r="M24" s="16"/>
      <c r="N24" s="6"/>
      <c r="O24" s="16"/>
      <c r="P24" s="6"/>
      <c r="Q24" s="16"/>
      <c r="R24" s="6"/>
      <c r="S24" s="16"/>
      <c r="T24" s="6"/>
      <c r="U24" s="16"/>
      <c r="V24" s="6"/>
      <c r="W24" s="16"/>
      <c r="X24" s="6"/>
      <c r="Y24" s="16"/>
      <c r="Z24" s="6"/>
      <c r="AA24" s="16"/>
      <c r="AB24" s="6"/>
      <c r="AC24" s="16"/>
      <c r="AD24" s="6"/>
      <c r="AE24" s="16"/>
      <c r="AF24" s="6"/>
      <c r="AG24" s="16"/>
      <c r="AH24" s="6"/>
      <c r="AI24" s="16"/>
      <c r="AJ24" s="6"/>
      <c r="AK24" s="16"/>
      <c r="AL24" s="6"/>
      <c r="AM24" s="16"/>
      <c r="AN24" s="6"/>
      <c r="AO24" s="16"/>
      <c r="AP24" s="6"/>
      <c r="AQ24" s="16"/>
      <c r="AR24" s="6"/>
      <c r="AS24" s="16"/>
      <c r="AT24" s="6"/>
      <c r="AU24" s="16"/>
      <c r="AV24" s="6"/>
      <c r="AW24" s="16"/>
      <c r="AX24" s="6"/>
      <c r="AY24" s="16"/>
      <c r="AZ24" s="6"/>
      <c r="BA24" s="16"/>
      <c r="BB24" s="6"/>
      <c r="BC24" s="16"/>
      <c r="BD24" s="6"/>
      <c r="BE24" s="16"/>
      <c r="BF24" s="6"/>
      <c r="BG24" s="16"/>
      <c r="BH24" s="6"/>
      <c r="BI24" s="16"/>
      <c r="BJ24" s="6"/>
      <c r="BK24" s="16"/>
      <c r="BL24" s="6"/>
      <c r="BM24" s="16"/>
      <c r="BN24" s="6"/>
      <c r="BO24" s="16"/>
      <c r="BP24" s="6"/>
      <c r="BQ24" s="16"/>
      <c r="BR24" s="6"/>
      <c r="BS24" s="16"/>
      <c r="BT24" s="6"/>
      <c r="BU24" s="16"/>
      <c r="BV24" s="6"/>
      <c r="BW24" s="16"/>
      <c r="BX24" s="6"/>
      <c r="BY24" s="16"/>
      <c r="BZ24" s="6"/>
      <c r="CA24" s="16"/>
      <c r="CB24" s="6"/>
      <c r="CC24" s="16"/>
      <c r="CD24" s="6"/>
      <c r="CE24" s="16"/>
      <c r="CF24" s="16"/>
      <c r="CG24" s="16"/>
      <c r="CH24" s="6"/>
      <c r="CI24" s="16"/>
      <c r="CJ24" s="6"/>
      <c r="CK24" s="16"/>
      <c r="CL24" s="6"/>
      <c r="CM24" s="16"/>
      <c r="CN24" s="6"/>
      <c r="CO24" s="16"/>
      <c r="CP24" s="6"/>
      <c r="CQ24" s="16"/>
      <c r="CR24" s="6"/>
      <c r="CS24" s="16"/>
      <c r="CT24" s="6"/>
      <c r="CU24" s="16"/>
    </row>
    <row r="25">
      <c r="A25" s="16"/>
      <c r="B25" s="23"/>
      <c r="C25" s="16"/>
      <c r="D25" s="6"/>
      <c r="E25" s="16"/>
      <c r="F25" s="6"/>
      <c r="G25" s="16"/>
      <c r="H25" s="6"/>
      <c r="I25" s="16"/>
      <c r="J25" s="6"/>
      <c r="K25" s="16"/>
      <c r="L25" s="6"/>
      <c r="M25" s="16"/>
      <c r="N25" s="6"/>
      <c r="O25" s="16"/>
      <c r="P25" s="6"/>
      <c r="Q25" s="24"/>
      <c r="R25" s="6"/>
      <c r="S25" s="16"/>
      <c r="T25" s="6"/>
      <c r="U25" s="16"/>
      <c r="V25" s="6"/>
      <c r="W25" s="16"/>
      <c r="X25" s="6"/>
      <c r="Y25" s="16"/>
      <c r="Z25" s="6"/>
      <c r="AA25" s="16"/>
      <c r="AB25" s="6"/>
      <c r="AC25" s="16"/>
      <c r="AD25" s="6"/>
      <c r="AE25" s="16"/>
      <c r="AF25" s="6"/>
      <c r="AG25" s="16"/>
      <c r="AH25" s="6"/>
      <c r="AI25" s="16"/>
      <c r="AJ25" s="6"/>
      <c r="AK25" s="16"/>
      <c r="AL25" s="6"/>
      <c r="AM25" s="16"/>
      <c r="AN25" s="6"/>
      <c r="AO25" s="16"/>
      <c r="AP25" s="6"/>
      <c r="AQ25" s="16"/>
      <c r="AR25" s="6"/>
      <c r="AS25" s="16"/>
      <c r="AT25" s="6"/>
      <c r="AU25" s="16"/>
      <c r="AV25" s="6"/>
      <c r="AW25" s="16"/>
      <c r="AX25" s="6"/>
      <c r="AY25" s="16"/>
      <c r="AZ25" s="6"/>
      <c r="BA25" s="16"/>
      <c r="BB25" s="6"/>
      <c r="BC25" s="16"/>
      <c r="BD25" s="6"/>
      <c r="BE25" s="16"/>
      <c r="BF25" s="6"/>
      <c r="BG25" s="16"/>
      <c r="BH25" s="6"/>
      <c r="BI25" s="16"/>
      <c r="BJ25" s="6"/>
      <c r="BK25" s="16"/>
      <c r="BL25" s="6"/>
      <c r="BM25" s="16"/>
      <c r="BN25" s="6"/>
      <c r="BO25" s="16"/>
      <c r="BP25" s="6"/>
      <c r="BQ25" s="16"/>
      <c r="BR25" s="6"/>
      <c r="BS25" s="16"/>
      <c r="BT25" s="6"/>
      <c r="BU25" s="16"/>
      <c r="BV25" s="6"/>
      <c r="BW25" s="16"/>
      <c r="BX25" s="6"/>
      <c r="BY25" s="16"/>
      <c r="BZ25" s="6"/>
      <c r="CA25" s="16"/>
      <c r="CB25" s="6"/>
      <c r="CC25" s="16"/>
      <c r="CD25" s="6"/>
      <c r="CE25" s="16"/>
      <c r="CF25" s="6"/>
      <c r="CG25" s="16"/>
      <c r="CH25" s="6"/>
      <c r="CI25" s="16"/>
      <c r="CJ25" s="6"/>
      <c r="CK25" s="16"/>
      <c r="CL25" s="6"/>
      <c r="CM25" s="16"/>
      <c r="CN25" s="6"/>
      <c r="CO25" s="16"/>
      <c r="CP25" s="6"/>
      <c r="CQ25" s="16"/>
      <c r="CR25" s="6"/>
      <c r="CS25" s="16"/>
      <c r="CT25" s="6"/>
      <c r="CU25" s="16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12"/>
      <c r="M26" s="12"/>
      <c r="N26" s="9"/>
      <c r="O26" s="7"/>
      <c r="P26" s="7"/>
      <c r="Q26" s="11"/>
      <c r="R26" s="7"/>
      <c r="S26" s="7"/>
      <c r="T26" s="6"/>
      <c r="U26" s="7"/>
      <c r="V26" s="7"/>
      <c r="W26" s="6"/>
      <c r="X26" s="6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9"/>
      <c r="O27" s="7"/>
      <c r="P27" s="7"/>
      <c r="Q27" s="11"/>
      <c r="R27" s="7"/>
      <c r="S27" s="7"/>
      <c r="T27" s="6"/>
      <c r="U27" s="7"/>
      <c r="V27" s="7"/>
      <c r="W27" s="6"/>
      <c r="X27" s="6"/>
    </row>
    <row r="28">
      <c r="A28" s="16"/>
      <c r="B28" s="16"/>
      <c r="C28" s="16"/>
      <c r="D28" s="6"/>
      <c r="E28" s="16"/>
      <c r="F28" s="6"/>
      <c r="G28" s="16"/>
      <c r="H28" s="6"/>
      <c r="I28" s="16"/>
      <c r="J28" s="6"/>
      <c r="K28" s="16"/>
      <c r="L28" s="6"/>
      <c r="M28" s="16"/>
      <c r="N28" s="6"/>
      <c r="O28" s="16"/>
      <c r="P28" s="6"/>
      <c r="Q28" s="25"/>
      <c r="R28" s="6"/>
      <c r="S28" s="16"/>
      <c r="T28" s="6"/>
      <c r="U28" s="16"/>
      <c r="V28" s="6"/>
      <c r="W28" s="16"/>
      <c r="X28" s="6"/>
      <c r="Y28" s="16"/>
      <c r="Z28" s="6"/>
      <c r="AA28" s="16"/>
      <c r="AB28" s="6"/>
      <c r="AC28" s="16"/>
      <c r="AD28" s="6"/>
      <c r="AE28" s="16"/>
      <c r="AF28" s="6"/>
      <c r="AG28" s="16"/>
      <c r="AH28" s="6"/>
      <c r="AI28" s="16"/>
      <c r="AJ28" s="6"/>
      <c r="AK28" s="16"/>
      <c r="AL28" s="6"/>
      <c r="AM28" s="16"/>
      <c r="AN28" s="6"/>
      <c r="AO28" s="16"/>
      <c r="AP28" s="6"/>
      <c r="AQ28" s="16"/>
      <c r="AR28" s="6"/>
      <c r="AS28" s="16"/>
      <c r="AT28" s="6"/>
      <c r="AU28" s="16"/>
      <c r="AV28" s="6"/>
      <c r="AW28" s="16"/>
      <c r="AX28" s="6"/>
      <c r="AY28" s="16"/>
      <c r="AZ28" s="6"/>
      <c r="BA28" s="16"/>
      <c r="BB28" s="6"/>
      <c r="BC28" s="16"/>
      <c r="BD28" s="6"/>
      <c r="BE28" s="16"/>
      <c r="BF28" s="6"/>
      <c r="BG28" s="16"/>
      <c r="BH28" s="6"/>
      <c r="BI28" s="16"/>
      <c r="BJ28" s="6"/>
      <c r="BK28" s="16"/>
      <c r="BL28" s="6"/>
      <c r="BM28" s="16"/>
      <c r="BN28" s="6"/>
      <c r="BO28" s="16"/>
      <c r="BP28" s="6"/>
      <c r="BQ28" s="16"/>
      <c r="BR28" s="6"/>
      <c r="BS28" s="16"/>
      <c r="BT28" s="6"/>
      <c r="BU28" s="16"/>
      <c r="BV28" s="6"/>
      <c r="BW28" s="16"/>
      <c r="BX28" s="6"/>
      <c r="BY28" s="16"/>
      <c r="BZ28" s="6"/>
      <c r="CA28" s="16"/>
      <c r="CB28" s="6"/>
      <c r="CC28" s="16"/>
      <c r="CD28" s="6"/>
      <c r="CE28" s="16"/>
      <c r="CF28" s="16"/>
      <c r="CG28" s="16"/>
      <c r="CH28" s="6"/>
      <c r="CI28" s="16"/>
      <c r="CJ28" s="6"/>
      <c r="CK28" s="16"/>
      <c r="CL28" s="6"/>
      <c r="CM28" s="16"/>
      <c r="CN28" s="6"/>
      <c r="CO28" s="16"/>
      <c r="CP28" s="6"/>
      <c r="CQ28" s="16"/>
      <c r="CR28" s="6"/>
      <c r="CS28" s="16"/>
      <c r="CT28" s="6"/>
      <c r="CU28" s="16"/>
    </row>
    <row r="29">
      <c r="A29" s="16"/>
      <c r="B29" s="16"/>
      <c r="C29" s="16"/>
      <c r="D29" s="6"/>
      <c r="E29" s="16"/>
      <c r="F29" s="6"/>
      <c r="G29" s="16"/>
      <c r="H29" s="6"/>
      <c r="I29" s="16"/>
      <c r="J29" s="6"/>
      <c r="K29" s="16"/>
      <c r="L29" s="6"/>
      <c r="M29" s="16"/>
      <c r="N29" s="6"/>
      <c r="O29" s="16"/>
      <c r="P29" s="6"/>
      <c r="Q29" s="25"/>
      <c r="R29" s="6"/>
      <c r="S29" s="16"/>
      <c r="T29" s="6"/>
      <c r="U29" s="16"/>
      <c r="V29" s="6"/>
      <c r="W29" s="16"/>
      <c r="X29" s="6"/>
      <c r="Y29" s="16"/>
      <c r="Z29" s="6"/>
      <c r="AA29" s="16"/>
      <c r="AB29" s="6"/>
      <c r="AC29" s="16"/>
      <c r="AD29" s="6"/>
      <c r="AE29" s="16"/>
      <c r="AF29" s="6"/>
      <c r="AG29" s="16"/>
      <c r="AH29" s="6"/>
      <c r="AI29" s="16"/>
      <c r="AJ29" s="6"/>
      <c r="AK29" s="16"/>
      <c r="AL29" s="6"/>
      <c r="AM29" s="16"/>
      <c r="AN29" s="6"/>
      <c r="AO29" s="16"/>
      <c r="AP29" s="6"/>
      <c r="AQ29" s="16"/>
      <c r="AR29" s="6"/>
      <c r="AS29" s="16"/>
      <c r="AT29" s="6"/>
      <c r="AU29" s="16"/>
      <c r="AV29" s="6"/>
      <c r="AW29" s="16"/>
      <c r="AX29" s="6"/>
      <c r="AY29" s="16"/>
      <c r="AZ29" s="6"/>
      <c r="BA29" s="16"/>
      <c r="BB29" s="6"/>
      <c r="BC29" s="16"/>
      <c r="BD29" s="6"/>
      <c r="BE29" s="16"/>
      <c r="BF29" s="6"/>
      <c r="BG29" s="16"/>
      <c r="BH29" s="6"/>
      <c r="BI29" s="16"/>
      <c r="BJ29" s="6"/>
      <c r="BK29" s="16"/>
      <c r="BL29" s="6"/>
      <c r="BM29" s="16"/>
      <c r="BN29" s="6"/>
      <c r="BO29" s="16"/>
      <c r="BP29" s="6"/>
      <c r="BQ29" s="16"/>
      <c r="BR29" s="6"/>
      <c r="BS29" s="16"/>
      <c r="BT29" s="6"/>
      <c r="BU29" s="16"/>
      <c r="BV29" s="6"/>
      <c r="BW29" s="16"/>
      <c r="BX29" s="6"/>
      <c r="BY29" s="16"/>
      <c r="BZ29" s="6"/>
      <c r="CA29" s="16"/>
      <c r="CB29" s="6"/>
      <c r="CC29" s="16"/>
      <c r="CD29" s="6"/>
      <c r="CE29" s="16"/>
      <c r="CF29" s="16"/>
      <c r="CG29" s="16"/>
      <c r="CH29" s="6"/>
      <c r="CI29" s="16"/>
      <c r="CJ29" s="6"/>
      <c r="CK29" s="16"/>
      <c r="CL29" s="6"/>
      <c r="CM29" s="16"/>
      <c r="CN29" s="6"/>
      <c r="CO29" s="16"/>
      <c r="CP29" s="6"/>
      <c r="CQ29" s="16"/>
      <c r="CR29" s="6"/>
      <c r="CS29" s="16"/>
      <c r="CT29" s="6"/>
      <c r="CU29" s="16"/>
    </row>
    <row r="30">
      <c r="A30" s="16"/>
      <c r="B30" s="16"/>
      <c r="C30" s="16"/>
      <c r="D30" s="6"/>
      <c r="E30" s="16"/>
      <c r="F30" s="6"/>
      <c r="G30" s="16"/>
      <c r="H30" s="6"/>
      <c r="I30" s="16"/>
      <c r="J30" s="6"/>
      <c r="K30" s="16"/>
      <c r="L30" s="6"/>
      <c r="M30" s="16"/>
      <c r="N30" s="6"/>
      <c r="O30" s="16"/>
      <c r="P30" s="6"/>
      <c r="Q30" s="25"/>
      <c r="R30" s="6"/>
      <c r="S30" s="16"/>
      <c r="T30" s="6"/>
      <c r="U30" s="16"/>
      <c r="V30" s="6"/>
      <c r="W30" s="16"/>
      <c r="X30" s="6"/>
      <c r="Y30" s="16"/>
      <c r="Z30" s="6"/>
      <c r="AA30" s="16"/>
      <c r="AB30" s="6"/>
      <c r="AC30" s="16"/>
      <c r="AD30" s="6"/>
      <c r="AE30" s="16"/>
      <c r="AF30" s="6"/>
      <c r="AG30" s="16"/>
      <c r="AH30" s="6"/>
      <c r="AI30" s="16"/>
      <c r="AJ30" s="6"/>
      <c r="AK30" s="16"/>
      <c r="AL30" s="6"/>
      <c r="AM30" s="16"/>
      <c r="AN30" s="6"/>
      <c r="AO30" s="16"/>
      <c r="AP30" s="6"/>
      <c r="AQ30" s="16"/>
      <c r="AR30" s="6"/>
      <c r="AS30" s="16"/>
      <c r="AT30" s="6"/>
      <c r="AU30" s="16"/>
      <c r="AV30" s="6"/>
      <c r="AW30" s="16"/>
      <c r="AX30" s="6"/>
      <c r="AY30" s="16"/>
      <c r="AZ30" s="6"/>
      <c r="BA30" s="16"/>
      <c r="BB30" s="6"/>
      <c r="BC30" s="16"/>
      <c r="BD30" s="6"/>
      <c r="BE30" s="16"/>
      <c r="BF30" s="6"/>
      <c r="BG30" s="16"/>
      <c r="BH30" s="6"/>
      <c r="BI30" s="16"/>
      <c r="BJ30" s="6"/>
      <c r="BK30" s="16"/>
      <c r="BL30" s="6"/>
      <c r="BM30" s="16"/>
      <c r="BN30" s="6"/>
      <c r="BO30" s="16"/>
      <c r="BP30" s="6"/>
      <c r="BQ30" s="16"/>
      <c r="BR30" s="6"/>
      <c r="BS30" s="16"/>
      <c r="BT30" s="6"/>
      <c r="BU30" s="16"/>
      <c r="BV30" s="6"/>
      <c r="BW30" s="16"/>
      <c r="BX30" s="6"/>
      <c r="BY30" s="16"/>
      <c r="BZ30" s="6"/>
      <c r="CA30" s="16"/>
      <c r="CB30" s="6"/>
      <c r="CC30" s="16"/>
      <c r="CD30" s="6"/>
      <c r="CE30" s="16"/>
      <c r="CF30" s="16"/>
      <c r="CG30" s="16"/>
      <c r="CH30" s="6"/>
      <c r="CI30" s="16"/>
      <c r="CJ30" s="16"/>
      <c r="CK30" s="16"/>
      <c r="CL30" s="6"/>
      <c r="CM30" s="16"/>
      <c r="CN30" s="16"/>
      <c r="CO30" s="16"/>
      <c r="CP30" s="6"/>
      <c r="CQ30" s="16"/>
      <c r="CR30" s="6"/>
      <c r="CS30" s="16"/>
      <c r="CT30" s="6"/>
      <c r="CU30" s="16"/>
    </row>
    <row r="31">
      <c r="A31" s="16"/>
      <c r="B31" s="16"/>
      <c r="C31" s="16"/>
      <c r="D31" s="6"/>
      <c r="E31" s="16"/>
      <c r="F31" s="6"/>
      <c r="G31" s="16"/>
      <c r="H31" s="6"/>
      <c r="I31" s="16"/>
      <c r="J31" s="6"/>
      <c r="K31" s="16"/>
      <c r="L31" s="6"/>
      <c r="M31" s="7"/>
      <c r="N31" s="6"/>
      <c r="O31" s="16"/>
      <c r="P31" s="6"/>
      <c r="Q31" s="16"/>
      <c r="R31" s="6"/>
      <c r="S31" s="16"/>
      <c r="T31" s="6"/>
      <c r="U31" s="16"/>
      <c r="V31" s="6"/>
      <c r="W31" s="16"/>
      <c r="X31" s="6"/>
      <c r="Y31" s="16"/>
      <c r="Z31" s="6"/>
      <c r="AA31" s="16"/>
      <c r="AB31" s="6"/>
      <c r="AC31" s="16"/>
      <c r="AD31" s="6"/>
      <c r="AE31" s="16"/>
      <c r="AF31" s="6"/>
      <c r="AG31" s="16"/>
      <c r="AH31" s="6"/>
      <c r="AI31" s="16"/>
      <c r="AJ31" s="6"/>
      <c r="AK31" s="16"/>
      <c r="AL31" s="6"/>
      <c r="AM31" s="16"/>
      <c r="AN31" s="6"/>
      <c r="AO31" s="16"/>
      <c r="AP31" s="6"/>
      <c r="AQ31" s="16"/>
      <c r="AR31" s="6"/>
      <c r="AS31" s="16"/>
      <c r="AT31" s="6"/>
      <c r="AU31" s="16"/>
      <c r="AV31" s="6"/>
      <c r="AW31" s="16"/>
      <c r="AX31" s="6"/>
      <c r="AY31" s="16"/>
      <c r="AZ31" s="6"/>
      <c r="BA31" s="16"/>
      <c r="BB31" s="6"/>
      <c r="BC31" s="16"/>
      <c r="BD31" s="6"/>
      <c r="BE31" s="16"/>
      <c r="BF31" s="6"/>
      <c r="BG31" s="16"/>
      <c r="BH31" s="6"/>
      <c r="BI31" s="16"/>
      <c r="BJ31" s="6"/>
      <c r="BK31" s="16"/>
      <c r="BL31" s="6"/>
      <c r="BM31" s="16"/>
      <c r="BN31" s="6"/>
      <c r="BO31" s="16"/>
      <c r="BP31" s="6"/>
      <c r="BQ31" s="16"/>
      <c r="BR31" s="6"/>
      <c r="BS31" s="16"/>
      <c r="BT31" s="6"/>
      <c r="BU31" s="16"/>
      <c r="BV31" s="6"/>
      <c r="BW31" s="16"/>
      <c r="BX31" s="6"/>
      <c r="BY31" s="16"/>
      <c r="BZ31" s="6"/>
      <c r="CA31" s="16"/>
      <c r="CB31" s="6"/>
      <c r="CC31" s="16"/>
      <c r="CD31" s="6"/>
      <c r="CE31" s="16"/>
      <c r="CF31" s="6"/>
      <c r="CG31" s="16"/>
      <c r="CH31" s="6"/>
      <c r="CI31" s="16"/>
      <c r="CJ31" s="6"/>
      <c r="CK31" s="16"/>
      <c r="CL31" s="6"/>
      <c r="CM31" s="16"/>
      <c r="CN31" s="6"/>
      <c r="CO31" s="16"/>
      <c r="CP31" s="6"/>
      <c r="CQ31" s="16"/>
      <c r="CR31" s="6"/>
      <c r="CS31" s="16"/>
      <c r="CT31" s="6"/>
      <c r="CU31" s="16"/>
    </row>
    <row r="32">
      <c r="A32" s="16"/>
      <c r="B32" s="16"/>
      <c r="C32" s="16"/>
      <c r="D32" s="6"/>
      <c r="E32" s="16"/>
      <c r="F32" s="6"/>
      <c r="G32" s="16"/>
      <c r="H32" s="6"/>
      <c r="I32" s="16"/>
      <c r="J32" s="6"/>
      <c r="K32" s="16"/>
      <c r="L32" s="6"/>
      <c r="M32" s="16"/>
      <c r="N32" s="6"/>
      <c r="O32" s="16"/>
      <c r="P32" s="6"/>
      <c r="Q32" s="16"/>
      <c r="R32" s="6"/>
      <c r="S32" s="16"/>
      <c r="T32" s="6"/>
      <c r="U32" s="16"/>
      <c r="V32" s="6"/>
      <c r="W32" s="16"/>
      <c r="X32" s="6"/>
      <c r="Y32" s="16"/>
      <c r="Z32" s="6"/>
      <c r="AA32" s="16"/>
      <c r="AB32" s="6"/>
      <c r="AC32" s="16"/>
      <c r="AD32" s="6"/>
      <c r="AE32" s="16"/>
      <c r="AF32" s="6"/>
      <c r="AG32" s="16"/>
      <c r="AH32" s="6"/>
      <c r="AI32" s="16"/>
      <c r="AJ32" s="6"/>
      <c r="AK32" s="16"/>
      <c r="AL32" s="6"/>
      <c r="AM32" s="16"/>
      <c r="AN32" s="6"/>
      <c r="AO32" s="16"/>
      <c r="AP32" s="6"/>
      <c r="AQ32" s="16"/>
      <c r="AR32" s="6"/>
      <c r="AS32" s="16"/>
      <c r="AT32" s="6"/>
      <c r="AU32" s="16"/>
      <c r="AV32" s="6"/>
      <c r="AW32" s="16"/>
      <c r="AX32" s="6"/>
      <c r="AY32" s="16"/>
      <c r="AZ32" s="6"/>
      <c r="BA32" s="16"/>
      <c r="BB32" s="6"/>
      <c r="BC32" s="16"/>
      <c r="BD32" s="6"/>
      <c r="BE32" s="16"/>
      <c r="BF32" s="6"/>
      <c r="BG32" s="16"/>
      <c r="BH32" s="6"/>
      <c r="BI32" s="16"/>
      <c r="BJ32" s="6"/>
      <c r="BK32" s="16"/>
      <c r="BL32" s="6"/>
      <c r="BM32" s="16"/>
      <c r="BN32" s="6"/>
      <c r="BO32" s="16"/>
      <c r="BP32" s="6"/>
      <c r="BQ32" s="16"/>
      <c r="BR32" s="6"/>
      <c r="BS32" s="16"/>
      <c r="BT32" s="6"/>
      <c r="BU32" s="16"/>
      <c r="BV32" s="6"/>
      <c r="BW32" s="16"/>
      <c r="BX32" s="6"/>
      <c r="BY32" s="16"/>
      <c r="BZ32" s="6"/>
      <c r="CA32" s="16"/>
      <c r="CB32" s="6"/>
      <c r="CC32" s="16"/>
      <c r="CD32" s="6"/>
      <c r="CE32" s="16"/>
      <c r="CF32" s="16"/>
      <c r="CG32" s="16"/>
      <c r="CH32" s="6"/>
      <c r="CI32" s="16"/>
      <c r="CJ32" s="6"/>
      <c r="CK32" s="16"/>
      <c r="CL32" s="6"/>
      <c r="CM32" s="16"/>
      <c r="CN32" s="6"/>
      <c r="CO32" s="16"/>
      <c r="CP32" s="6"/>
      <c r="CQ32" s="16"/>
      <c r="CR32" s="6"/>
      <c r="CS32" s="16"/>
      <c r="CT32" s="6"/>
      <c r="CU32" s="16"/>
    </row>
    <row r="33">
      <c r="A33" s="16"/>
      <c r="B33" s="16"/>
      <c r="C33" s="16"/>
      <c r="D33" s="6"/>
      <c r="E33" s="16"/>
      <c r="F33" s="6"/>
      <c r="G33" s="16"/>
      <c r="H33" s="6"/>
      <c r="I33" s="16"/>
      <c r="J33" s="6"/>
      <c r="K33" s="16"/>
      <c r="L33" s="6"/>
      <c r="M33" s="16"/>
      <c r="N33" s="6"/>
      <c r="O33" s="16"/>
      <c r="P33" s="6"/>
      <c r="Q33" s="16"/>
      <c r="R33" s="6"/>
      <c r="S33" s="16"/>
      <c r="T33" s="6"/>
      <c r="U33" s="16"/>
      <c r="V33" s="6"/>
      <c r="W33" s="16"/>
      <c r="X33" s="6"/>
      <c r="Y33" s="16"/>
      <c r="Z33" s="6"/>
      <c r="AA33" s="16"/>
      <c r="AB33" s="6"/>
      <c r="AC33" s="16"/>
      <c r="AD33" s="6"/>
      <c r="AE33" s="16"/>
      <c r="AF33" s="6"/>
      <c r="AG33" s="16"/>
      <c r="AH33" s="6"/>
      <c r="AI33" s="16"/>
      <c r="AJ33" s="6"/>
      <c r="AK33" s="16"/>
      <c r="AL33" s="6"/>
      <c r="AM33" s="16"/>
      <c r="AN33" s="6"/>
      <c r="AO33" s="16"/>
      <c r="AP33" s="6"/>
      <c r="AQ33" s="16"/>
      <c r="AR33" s="6"/>
      <c r="AS33" s="16"/>
      <c r="AT33" s="6"/>
      <c r="AU33" s="16"/>
      <c r="AV33" s="6"/>
      <c r="AW33" s="16"/>
      <c r="AX33" s="6"/>
      <c r="AY33" s="16"/>
      <c r="AZ33" s="6"/>
      <c r="BA33" s="16"/>
      <c r="BB33" s="6"/>
      <c r="BC33" s="16"/>
      <c r="BD33" s="6"/>
      <c r="BE33" s="16"/>
      <c r="BF33" s="6"/>
      <c r="BG33" s="16"/>
      <c r="BH33" s="6"/>
      <c r="BI33" s="16"/>
      <c r="BJ33" s="6"/>
      <c r="BK33" s="16"/>
      <c r="BL33" s="6"/>
      <c r="BM33" s="16"/>
      <c r="BN33" s="6"/>
      <c r="BO33" s="16"/>
      <c r="BP33" s="6"/>
      <c r="BQ33" s="16"/>
      <c r="BR33" s="6"/>
      <c r="BS33" s="16"/>
      <c r="BT33" s="6"/>
      <c r="BU33" s="16"/>
      <c r="BV33" s="6"/>
      <c r="BW33" s="16"/>
      <c r="BX33" s="6"/>
      <c r="BY33" s="16"/>
      <c r="BZ33" s="6"/>
      <c r="CA33" s="16"/>
      <c r="CB33" s="6"/>
      <c r="CC33" s="16"/>
      <c r="CD33" s="6"/>
      <c r="CE33" s="16"/>
      <c r="CF33" s="16"/>
      <c r="CG33" s="16"/>
      <c r="CH33" s="6"/>
      <c r="CI33" s="16"/>
      <c r="CJ33" s="6"/>
      <c r="CK33" s="16"/>
      <c r="CL33" s="6"/>
      <c r="CM33" s="16"/>
      <c r="CN33" s="6"/>
      <c r="CO33" s="16"/>
      <c r="CP33" s="6"/>
      <c r="CQ33" s="16"/>
      <c r="CR33" s="6"/>
      <c r="CS33" s="16"/>
      <c r="CT33" s="6"/>
      <c r="CU33" s="16"/>
    </row>
    <row r="34">
      <c r="A34" s="16"/>
      <c r="B34" s="16"/>
      <c r="C34" s="16"/>
      <c r="D34" s="6"/>
      <c r="E34" s="16"/>
      <c r="F34" s="6"/>
      <c r="G34" s="16"/>
      <c r="H34" s="6"/>
      <c r="I34" s="16"/>
      <c r="J34" s="6"/>
      <c r="K34" s="16"/>
      <c r="L34" s="6"/>
      <c r="M34" s="16"/>
      <c r="N34" s="6"/>
      <c r="O34" s="16"/>
      <c r="P34" s="6"/>
      <c r="Q34" s="16"/>
      <c r="R34" s="6"/>
      <c r="S34" s="16"/>
      <c r="T34" s="6"/>
      <c r="U34" s="16"/>
      <c r="V34" s="6"/>
      <c r="W34" s="16"/>
      <c r="X34" s="6"/>
      <c r="Y34" s="16"/>
      <c r="Z34" s="6"/>
      <c r="AA34" s="16"/>
      <c r="AB34" s="6"/>
      <c r="AC34" s="16"/>
      <c r="AD34" s="6"/>
      <c r="AE34" s="16"/>
      <c r="AF34" s="6"/>
      <c r="AG34" s="16"/>
      <c r="AH34" s="6"/>
      <c r="AI34" s="16"/>
      <c r="AJ34" s="6"/>
      <c r="AK34" s="16"/>
      <c r="AL34" s="6"/>
      <c r="AM34" s="16"/>
      <c r="AN34" s="6"/>
      <c r="AO34" s="16"/>
      <c r="AP34" s="6"/>
      <c r="AQ34" s="16"/>
      <c r="AR34" s="6"/>
      <c r="AS34" s="16"/>
      <c r="AT34" s="6"/>
      <c r="AU34" s="16"/>
      <c r="AV34" s="6"/>
      <c r="AW34" s="16"/>
      <c r="AX34" s="6"/>
      <c r="AY34" s="16"/>
      <c r="AZ34" s="6"/>
      <c r="BA34" s="16"/>
      <c r="BB34" s="6"/>
      <c r="BC34" s="16"/>
      <c r="BD34" s="6"/>
      <c r="BE34" s="16"/>
      <c r="BF34" s="6"/>
      <c r="BG34" s="16"/>
      <c r="BH34" s="6"/>
      <c r="BI34" s="16"/>
      <c r="BJ34" s="6"/>
      <c r="BK34" s="16"/>
      <c r="BL34" s="6"/>
      <c r="BM34" s="16"/>
      <c r="BN34" s="6"/>
      <c r="BO34" s="16"/>
      <c r="BP34" s="6"/>
      <c r="BQ34" s="16"/>
      <c r="BR34" s="6"/>
      <c r="BS34" s="16"/>
      <c r="BT34" s="6"/>
      <c r="BU34" s="16"/>
      <c r="BV34" s="6"/>
      <c r="BW34" s="16"/>
      <c r="BX34" s="6"/>
      <c r="BY34" s="16"/>
      <c r="BZ34" s="6"/>
      <c r="CA34" s="16"/>
      <c r="CB34" s="6"/>
      <c r="CC34" s="16"/>
      <c r="CD34" s="6"/>
      <c r="CE34" s="16"/>
      <c r="CF34" s="16"/>
      <c r="CG34" s="16"/>
      <c r="CH34" s="6"/>
      <c r="CI34" s="16"/>
      <c r="CJ34" s="6"/>
      <c r="CK34" s="16"/>
      <c r="CL34" s="6"/>
      <c r="CM34" s="16"/>
      <c r="CN34" s="6"/>
      <c r="CO34" s="16"/>
      <c r="CP34" s="6"/>
      <c r="CQ34" s="16"/>
      <c r="CR34" s="6"/>
      <c r="CS34" s="16"/>
      <c r="CT34" s="6"/>
      <c r="CU34" s="16"/>
    </row>
    <row r="35">
      <c r="A35" s="16"/>
      <c r="B35" s="16"/>
      <c r="C35" s="16"/>
      <c r="D35" s="6"/>
      <c r="E35" s="16"/>
      <c r="F35" s="6"/>
      <c r="G35" s="16"/>
      <c r="H35" s="6"/>
      <c r="I35" s="16"/>
      <c r="J35" s="6"/>
      <c r="K35" s="16"/>
      <c r="L35" s="6"/>
      <c r="M35" s="16"/>
      <c r="N35" s="6"/>
      <c r="O35" s="16"/>
      <c r="P35" s="6"/>
      <c r="Q35" s="16"/>
      <c r="R35" s="6"/>
      <c r="S35" s="16"/>
      <c r="T35" s="6"/>
      <c r="U35" s="16"/>
      <c r="V35" s="6"/>
      <c r="W35" s="16"/>
      <c r="X35" s="6"/>
      <c r="Y35" s="16"/>
      <c r="Z35" s="6"/>
      <c r="AA35" s="16"/>
      <c r="AB35" s="6"/>
      <c r="AC35" s="16"/>
      <c r="AD35" s="6"/>
      <c r="AE35" s="16"/>
      <c r="AF35" s="6"/>
      <c r="AG35" s="16"/>
      <c r="AH35" s="6"/>
      <c r="AI35" s="16"/>
      <c r="AJ35" s="6"/>
      <c r="AK35" s="16"/>
      <c r="AL35" s="6"/>
      <c r="AM35" s="16"/>
      <c r="AN35" s="6"/>
      <c r="AO35" s="16"/>
      <c r="AP35" s="6"/>
      <c r="AQ35" s="16"/>
      <c r="AR35" s="6"/>
      <c r="AS35" s="16"/>
      <c r="AT35" s="6"/>
      <c r="AU35" s="16"/>
      <c r="AV35" s="6"/>
      <c r="AW35" s="16"/>
      <c r="AX35" s="6"/>
      <c r="AY35" s="16"/>
      <c r="AZ35" s="6"/>
      <c r="BA35" s="16"/>
      <c r="BB35" s="6"/>
      <c r="BC35" s="16"/>
      <c r="BD35" s="6"/>
      <c r="BE35" s="16"/>
      <c r="BF35" s="6"/>
      <c r="BG35" s="16"/>
      <c r="BH35" s="6"/>
      <c r="BI35" s="16"/>
      <c r="BJ35" s="6"/>
      <c r="BK35" s="16"/>
      <c r="BL35" s="6"/>
      <c r="BM35" s="16"/>
      <c r="BN35" s="6"/>
      <c r="BO35" s="16"/>
      <c r="BP35" s="6"/>
      <c r="BQ35" s="16"/>
      <c r="BR35" s="6"/>
      <c r="BS35" s="16"/>
      <c r="BT35" s="6"/>
      <c r="BU35" s="16"/>
      <c r="BV35" s="6"/>
      <c r="BW35" s="16"/>
      <c r="BX35" s="6"/>
      <c r="BY35" s="16"/>
      <c r="BZ35" s="6"/>
      <c r="CA35" s="16"/>
      <c r="CB35" s="6"/>
      <c r="CC35" s="16"/>
      <c r="CD35" s="6"/>
      <c r="CE35" s="16"/>
      <c r="CF35" s="16"/>
      <c r="CG35" s="16"/>
      <c r="CH35" s="6"/>
      <c r="CI35" s="16"/>
      <c r="CJ35" s="6"/>
      <c r="CK35" s="16"/>
      <c r="CL35" s="6"/>
      <c r="CM35" s="16"/>
      <c r="CN35" s="6"/>
      <c r="CO35" s="16"/>
      <c r="CP35" s="6"/>
      <c r="CQ35" s="16"/>
      <c r="CR35" s="6"/>
      <c r="CS35" s="16"/>
      <c r="CT35" s="6"/>
      <c r="CU35" s="16"/>
    </row>
    <row r="36">
      <c r="A36" s="16"/>
      <c r="B36" s="16"/>
      <c r="C36" s="16"/>
      <c r="D36" s="6"/>
      <c r="E36" s="16"/>
      <c r="F36" s="6"/>
      <c r="G36" s="16"/>
      <c r="H36" s="6"/>
      <c r="I36" s="16"/>
      <c r="J36" s="6"/>
      <c r="K36" s="16"/>
      <c r="L36" s="6"/>
      <c r="M36" s="16"/>
      <c r="N36" s="6"/>
      <c r="O36" s="16"/>
      <c r="P36" s="6"/>
      <c r="Q36" s="16"/>
      <c r="R36" s="6"/>
      <c r="S36" s="16"/>
      <c r="T36" s="6"/>
      <c r="U36" s="16"/>
      <c r="V36" s="6"/>
      <c r="W36" s="16"/>
      <c r="X36" s="6"/>
      <c r="Y36" s="16"/>
      <c r="Z36" s="6"/>
      <c r="AA36" s="16"/>
      <c r="AB36" s="6"/>
      <c r="AC36" s="16"/>
      <c r="AD36" s="6"/>
      <c r="AE36" s="16"/>
      <c r="AF36" s="6"/>
      <c r="AG36" s="16"/>
      <c r="AH36" s="6"/>
      <c r="AI36" s="16"/>
      <c r="AJ36" s="6"/>
      <c r="AK36" s="16"/>
      <c r="AL36" s="6"/>
      <c r="AM36" s="16"/>
      <c r="AN36" s="6"/>
      <c r="AO36" s="16"/>
      <c r="AP36" s="6"/>
      <c r="AQ36" s="16"/>
      <c r="AR36" s="6"/>
      <c r="AS36" s="16"/>
      <c r="AT36" s="6"/>
      <c r="AU36" s="16"/>
      <c r="AV36" s="6"/>
      <c r="AW36" s="16"/>
      <c r="AX36" s="6"/>
      <c r="AY36" s="16"/>
      <c r="AZ36" s="6"/>
      <c r="BA36" s="16"/>
      <c r="BB36" s="6"/>
      <c r="BC36" s="16"/>
      <c r="BD36" s="6"/>
      <c r="BE36" s="16"/>
      <c r="BF36" s="6"/>
      <c r="BG36" s="16"/>
      <c r="BH36" s="6"/>
      <c r="BI36" s="16"/>
      <c r="BJ36" s="6"/>
      <c r="BK36" s="16"/>
      <c r="BL36" s="6"/>
      <c r="BM36" s="16"/>
      <c r="BN36" s="6"/>
      <c r="BO36" s="16"/>
      <c r="BP36" s="6"/>
      <c r="BQ36" s="16"/>
      <c r="BR36" s="6"/>
      <c r="BS36" s="16"/>
      <c r="BT36" s="6"/>
      <c r="BU36" s="16"/>
      <c r="BV36" s="6"/>
      <c r="BW36" s="16"/>
      <c r="BX36" s="6"/>
      <c r="BY36" s="16"/>
      <c r="BZ36" s="6"/>
      <c r="CA36" s="16"/>
      <c r="CB36" s="6"/>
      <c r="CC36" s="16"/>
      <c r="CD36" s="6"/>
      <c r="CE36" s="16"/>
      <c r="CF36" s="16"/>
      <c r="CG36" s="16"/>
      <c r="CH36" s="6"/>
      <c r="CI36" s="16"/>
      <c r="CJ36" s="6"/>
      <c r="CK36" s="16"/>
      <c r="CL36" s="6"/>
      <c r="CM36" s="16"/>
      <c r="CN36" s="6"/>
      <c r="CO36" s="16"/>
      <c r="CP36" s="6"/>
      <c r="CQ36" s="16"/>
      <c r="CR36" s="6"/>
      <c r="CS36" s="16"/>
      <c r="CT36" s="6"/>
      <c r="CU36" s="16"/>
    </row>
    <row r="37">
      <c r="A37" s="16"/>
      <c r="B37" s="23"/>
      <c r="C37" s="16"/>
      <c r="D37" s="6"/>
      <c r="E37" s="16"/>
      <c r="F37" s="6"/>
      <c r="G37" s="16"/>
      <c r="H37" s="6"/>
      <c r="I37" s="16"/>
      <c r="J37" s="6"/>
      <c r="K37" s="16"/>
      <c r="L37" s="6"/>
      <c r="M37" s="16"/>
      <c r="N37" s="6"/>
      <c r="O37" s="16"/>
      <c r="P37" s="6"/>
      <c r="Q37" s="24"/>
      <c r="R37" s="6"/>
      <c r="S37" s="16"/>
      <c r="T37" s="6"/>
      <c r="U37" s="16"/>
      <c r="V37" s="6"/>
      <c r="W37" s="16"/>
      <c r="X37" s="6"/>
      <c r="Y37" s="16"/>
      <c r="Z37" s="6"/>
      <c r="AA37" s="16"/>
      <c r="AB37" s="6"/>
      <c r="AC37" s="16"/>
      <c r="AD37" s="6"/>
      <c r="AE37" s="16"/>
      <c r="AF37" s="6"/>
      <c r="AG37" s="16"/>
      <c r="AH37" s="6"/>
      <c r="AI37" s="16"/>
      <c r="AJ37" s="6"/>
      <c r="AK37" s="16"/>
      <c r="AL37" s="6"/>
      <c r="AM37" s="16"/>
      <c r="AN37" s="6"/>
      <c r="AO37" s="16"/>
      <c r="AP37" s="6"/>
      <c r="AQ37" s="16"/>
      <c r="AR37" s="6"/>
      <c r="AS37" s="16"/>
      <c r="AT37" s="6"/>
      <c r="AU37" s="16"/>
      <c r="AV37" s="6"/>
      <c r="AW37" s="16"/>
      <c r="AX37" s="6"/>
      <c r="AY37" s="16"/>
      <c r="AZ37" s="6"/>
      <c r="BA37" s="16"/>
      <c r="BB37" s="6"/>
      <c r="BC37" s="16"/>
      <c r="BD37" s="6"/>
      <c r="BE37" s="16"/>
      <c r="BF37" s="6"/>
      <c r="BG37" s="16"/>
      <c r="BH37" s="6"/>
      <c r="BI37" s="16"/>
      <c r="BJ37" s="6"/>
      <c r="BK37" s="16"/>
      <c r="BL37" s="6"/>
      <c r="BM37" s="16"/>
      <c r="BN37" s="6"/>
      <c r="BO37" s="16"/>
      <c r="BP37" s="6"/>
      <c r="BQ37" s="16"/>
      <c r="BR37" s="6"/>
      <c r="BS37" s="16"/>
      <c r="BT37" s="6"/>
      <c r="BU37" s="16"/>
      <c r="BV37" s="6"/>
      <c r="BW37" s="16"/>
      <c r="BX37" s="6"/>
      <c r="BY37" s="16"/>
      <c r="BZ37" s="6"/>
      <c r="CA37" s="16"/>
      <c r="CB37" s="6"/>
      <c r="CC37" s="16"/>
      <c r="CD37" s="6"/>
      <c r="CE37" s="16"/>
      <c r="CF37" s="16"/>
      <c r="CG37" s="16"/>
      <c r="CH37" s="6"/>
      <c r="CI37" s="16"/>
      <c r="CJ37" s="6"/>
      <c r="CK37" s="16"/>
      <c r="CL37" s="6"/>
      <c r="CM37" s="16"/>
      <c r="CN37" s="6"/>
      <c r="CO37" s="16"/>
      <c r="CP37" s="6"/>
      <c r="CQ37" s="16"/>
      <c r="CR37" s="6"/>
      <c r="CS37" s="16"/>
      <c r="CT37" s="6"/>
      <c r="CU37" s="16"/>
    </row>
    <row r="38">
      <c r="A38" s="16"/>
      <c r="B38" s="16"/>
      <c r="C38" s="16"/>
      <c r="D38" s="6"/>
      <c r="E38" s="16"/>
      <c r="F38" s="6"/>
      <c r="G38" s="16"/>
      <c r="H38" s="6"/>
      <c r="I38" s="16"/>
      <c r="J38" s="6"/>
      <c r="K38" s="16"/>
      <c r="L38" s="6"/>
      <c r="M38" s="16"/>
      <c r="N38" s="6"/>
      <c r="O38" s="16"/>
      <c r="P38" s="6"/>
      <c r="Q38" s="25"/>
      <c r="R38" s="6"/>
      <c r="S38" s="16"/>
      <c r="T38" s="6"/>
      <c r="U38" s="16"/>
      <c r="V38" s="6"/>
      <c r="W38" s="16"/>
      <c r="X38" s="6"/>
      <c r="Y38" s="16"/>
      <c r="Z38" s="6"/>
      <c r="AA38" s="16"/>
      <c r="AB38" s="6"/>
      <c r="AC38" s="16"/>
      <c r="AD38" s="6"/>
      <c r="AE38" s="16"/>
      <c r="AF38" s="6"/>
      <c r="AG38" s="16"/>
      <c r="AH38" s="6"/>
      <c r="AI38" s="16"/>
      <c r="AJ38" s="6"/>
      <c r="AK38" s="16"/>
      <c r="AL38" s="6"/>
      <c r="AM38" s="16"/>
      <c r="AN38" s="6"/>
      <c r="AO38" s="16"/>
      <c r="AP38" s="6"/>
      <c r="AQ38" s="16"/>
      <c r="AR38" s="6"/>
      <c r="AS38" s="16"/>
      <c r="AT38" s="6"/>
      <c r="AU38" s="16"/>
      <c r="AV38" s="6"/>
      <c r="AW38" s="16"/>
      <c r="AX38" s="6"/>
      <c r="AY38" s="16"/>
      <c r="AZ38" s="6"/>
      <c r="BA38" s="16"/>
      <c r="BB38" s="6"/>
      <c r="BC38" s="16"/>
      <c r="BD38" s="6"/>
      <c r="BE38" s="16"/>
      <c r="BF38" s="6"/>
      <c r="BG38" s="16"/>
      <c r="BH38" s="6"/>
      <c r="BI38" s="16"/>
      <c r="BJ38" s="6"/>
      <c r="BK38" s="16"/>
      <c r="BL38" s="6"/>
      <c r="BM38" s="16"/>
      <c r="BN38" s="6"/>
      <c r="BO38" s="16"/>
      <c r="BP38" s="6"/>
      <c r="BQ38" s="16"/>
      <c r="BR38" s="6"/>
      <c r="BS38" s="16"/>
      <c r="BT38" s="6"/>
      <c r="BU38" s="16"/>
      <c r="BV38" s="6"/>
      <c r="BW38" s="16"/>
      <c r="BX38" s="6"/>
      <c r="BY38" s="16"/>
      <c r="BZ38" s="6"/>
      <c r="CA38" s="16"/>
      <c r="CB38" s="6"/>
      <c r="CC38" s="16"/>
      <c r="CD38" s="6"/>
      <c r="CE38" s="16"/>
      <c r="CF38" s="16"/>
      <c r="CG38" s="16"/>
      <c r="CH38" s="6"/>
      <c r="CI38" s="16"/>
      <c r="CJ38" s="6"/>
      <c r="CK38" s="16"/>
      <c r="CL38" s="6"/>
      <c r="CM38" s="16"/>
      <c r="CN38" s="6"/>
      <c r="CO38" s="16"/>
      <c r="CP38" s="6"/>
      <c r="CQ38" s="16"/>
      <c r="CR38" s="6"/>
      <c r="CS38" s="16"/>
      <c r="CT38" s="6"/>
      <c r="CU38" s="16"/>
    </row>
    <row r="39">
      <c r="A39" s="16"/>
      <c r="B39" s="16"/>
      <c r="C39" s="16"/>
      <c r="D39" s="6"/>
      <c r="E39" s="16"/>
      <c r="F39" s="6"/>
      <c r="G39" s="16"/>
      <c r="H39" s="6"/>
      <c r="I39" s="16"/>
      <c r="J39" s="6"/>
      <c r="K39" s="16"/>
      <c r="L39" s="6"/>
      <c r="M39" s="16"/>
      <c r="N39" s="6"/>
      <c r="O39" s="16"/>
      <c r="P39" s="6"/>
      <c r="Q39" s="25"/>
      <c r="R39" s="6"/>
      <c r="S39" s="16"/>
      <c r="T39" s="6"/>
      <c r="U39" s="16"/>
      <c r="V39" s="6"/>
      <c r="W39" s="16"/>
      <c r="X39" s="6"/>
      <c r="Y39" s="16"/>
      <c r="Z39" s="6"/>
      <c r="AA39" s="16"/>
      <c r="AB39" s="6"/>
      <c r="AC39" s="16"/>
      <c r="AD39" s="6"/>
      <c r="AE39" s="16"/>
      <c r="AF39" s="6"/>
      <c r="AG39" s="16"/>
      <c r="AH39" s="6"/>
      <c r="AI39" s="16"/>
      <c r="AJ39" s="6"/>
      <c r="AK39" s="16"/>
      <c r="AL39" s="6"/>
      <c r="AM39" s="16"/>
      <c r="AN39" s="6"/>
      <c r="AO39" s="16"/>
      <c r="AP39" s="6"/>
      <c r="AQ39" s="16"/>
      <c r="AR39" s="6"/>
      <c r="AS39" s="16"/>
      <c r="AT39" s="6"/>
      <c r="AU39" s="16"/>
      <c r="AV39" s="6"/>
      <c r="AW39" s="16"/>
      <c r="AX39" s="6"/>
      <c r="AY39" s="16"/>
      <c r="AZ39" s="6"/>
      <c r="BA39" s="16"/>
      <c r="BB39" s="6"/>
      <c r="BC39" s="16"/>
      <c r="BD39" s="6"/>
      <c r="BE39" s="16"/>
      <c r="BF39" s="6"/>
      <c r="BG39" s="16"/>
      <c r="BH39" s="6"/>
      <c r="BI39" s="16"/>
      <c r="BJ39" s="6"/>
      <c r="BK39" s="16"/>
      <c r="BL39" s="6"/>
      <c r="BM39" s="16"/>
      <c r="BN39" s="6"/>
      <c r="BO39" s="16"/>
      <c r="BP39" s="6"/>
      <c r="BQ39" s="16"/>
      <c r="BR39" s="6"/>
      <c r="BS39" s="16"/>
      <c r="BT39" s="6"/>
      <c r="BU39" s="16"/>
      <c r="BV39" s="6"/>
      <c r="BW39" s="16"/>
      <c r="BX39" s="6"/>
      <c r="BY39" s="16"/>
      <c r="BZ39" s="6"/>
      <c r="CA39" s="16"/>
      <c r="CB39" s="6"/>
      <c r="CC39" s="16"/>
      <c r="CD39" s="6"/>
      <c r="CE39" s="16"/>
      <c r="CF39" s="16"/>
      <c r="CG39" s="16"/>
      <c r="CH39" s="6"/>
      <c r="CI39" s="16"/>
      <c r="CJ39" s="6"/>
      <c r="CK39" s="16"/>
      <c r="CL39" s="6"/>
      <c r="CM39" s="16"/>
      <c r="CN39" s="6"/>
      <c r="CO39" s="16"/>
      <c r="CP39" s="6"/>
      <c r="CQ39" s="16"/>
      <c r="CR39" s="6"/>
      <c r="CS39" s="16"/>
      <c r="CT39" s="6"/>
      <c r="CU39" s="16"/>
    </row>
    <row r="40">
      <c r="A40" s="16"/>
      <c r="B40" s="16"/>
      <c r="C40" s="16"/>
      <c r="D40" s="6"/>
      <c r="E40" s="16"/>
      <c r="F40" s="6"/>
      <c r="G40" s="16"/>
      <c r="H40" s="6"/>
      <c r="I40" s="16"/>
      <c r="J40" s="6"/>
      <c r="K40" s="16"/>
      <c r="L40" s="6"/>
      <c r="M40" s="16"/>
      <c r="N40" s="6"/>
      <c r="O40" s="16"/>
      <c r="P40" s="6"/>
      <c r="Q40" s="25"/>
      <c r="R40" s="6"/>
      <c r="S40" s="16"/>
      <c r="T40" s="6"/>
      <c r="U40" s="16"/>
      <c r="V40" s="6"/>
      <c r="W40" s="16"/>
      <c r="X40" s="6"/>
      <c r="Y40" s="16"/>
      <c r="Z40" s="6"/>
      <c r="AA40" s="16"/>
      <c r="AB40" s="6"/>
      <c r="AC40" s="16"/>
      <c r="AD40" s="6"/>
      <c r="AE40" s="16"/>
      <c r="AF40" s="6"/>
      <c r="AG40" s="16"/>
      <c r="AH40" s="6"/>
      <c r="AI40" s="16"/>
      <c r="AJ40" s="6"/>
      <c r="AK40" s="16"/>
      <c r="AL40" s="6"/>
      <c r="AM40" s="16"/>
      <c r="AN40" s="6"/>
      <c r="AO40" s="16"/>
      <c r="AP40" s="6"/>
      <c r="AQ40" s="16"/>
      <c r="AR40" s="6"/>
      <c r="AS40" s="16"/>
      <c r="AT40" s="6"/>
      <c r="AU40" s="16"/>
      <c r="AV40" s="6"/>
      <c r="AW40" s="16"/>
      <c r="AX40" s="6"/>
      <c r="AY40" s="16"/>
      <c r="AZ40" s="6"/>
      <c r="BA40" s="16"/>
      <c r="BB40" s="6"/>
      <c r="BC40" s="16"/>
      <c r="BD40" s="6"/>
      <c r="BE40" s="16"/>
      <c r="BF40" s="6"/>
      <c r="BG40" s="16"/>
      <c r="BH40" s="6"/>
      <c r="BI40" s="16"/>
      <c r="BJ40" s="6"/>
      <c r="BK40" s="16"/>
      <c r="BL40" s="6"/>
      <c r="BM40" s="16"/>
      <c r="BN40" s="6"/>
      <c r="BO40" s="16"/>
      <c r="BP40" s="6"/>
      <c r="BQ40" s="16"/>
      <c r="BR40" s="6"/>
      <c r="BS40" s="16"/>
      <c r="BT40" s="6"/>
      <c r="BU40" s="16"/>
      <c r="BV40" s="6"/>
      <c r="BW40" s="16"/>
      <c r="BX40" s="6"/>
      <c r="BY40" s="16"/>
      <c r="BZ40" s="6"/>
      <c r="CA40" s="16"/>
      <c r="CB40" s="6"/>
      <c r="CC40" s="16"/>
      <c r="CD40" s="6"/>
      <c r="CE40" s="16"/>
      <c r="CF40" s="16"/>
      <c r="CG40" s="16"/>
      <c r="CH40" s="6"/>
      <c r="CI40" s="16"/>
      <c r="CJ40" s="6"/>
      <c r="CK40" s="16"/>
      <c r="CL40" s="6"/>
      <c r="CM40" s="16"/>
      <c r="CN40" s="6"/>
      <c r="CO40" s="16"/>
      <c r="CP40" s="6"/>
      <c r="CQ40" s="16"/>
      <c r="CR40" s="6"/>
      <c r="CS40" s="16"/>
      <c r="CT40" s="6"/>
      <c r="CU40" s="16"/>
    </row>
    <row r="41">
      <c r="A41" s="16"/>
      <c r="B41" s="16"/>
      <c r="C41" s="16"/>
      <c r="D41" s="6"/>
      <c r="E41" s="16"/>
      <c r="F41" s="6"/>
      <c r="G41" s="16"/>
      <c r="H41" s="6"/>
      <c r="I41" s="16"/>
      <c r="J41" s="6"/>
      <c r="K41" s="16"/>
      <c r="L41" s="6"/>
      <c r="M41" s="7"/>
      <c r="N41" s="6"/>
      <c r="O41" s="16"/>
      <c r="P41" s="6"/>
      <c r="Q41" s="25"/>
      <c r="R41" s="6"/>
      <c r="S41" s="16"/>
      <c r="T41" s="6"/>
      <c r="U41" s="16"/>
      <c r="V41" s="6"/>
      <c r="W41" s="16"/>
      <c r="X41" s="6"/>
      <c r="Y41" s="16"/>
      <c r="Z41" s="6"/>
      <c r="AA41" s="16"/>
      <c r="AB41" s="6"/>
      <c r="AC41" s="16"/>
      <c r="AD41" s="6"/>
      <c r="AE41" s="16"/>
      <c r="AF41" s="6"/>
      <c r="AG41" s="16"/>
      <c r="AH41" s="6"/>
      <c r="AI41" s="16"/>
      <c r="AJ41" s="6"/>
      <c r="AK41" s="16"/>
      <c r="AL41" s="6"/>
      <c r="AM41" s="16"/>
      <c r="AN41" s="6"/>
      <c r="AO41" s="16"/>
      <c r="AP41" s="6"/>
      <c r="AQ41" s="16"/>
      <c r="AR41" s="6"/>
      <c r="AS41" s="16"/>
      <c r="AT41" s="6"/>
      <c r="AU41" s="16"/>
      <c r="AV41" s="6"/>
      <c r="AW41" s="16"/>
      <c r="AX41" s="6"/>
      <c r="AY41" s="16"/>
      <c r="AZ41" s="6"/>
      <c r="BA41" s="16"/>
      <c r="BB41" s="6"/>
      <c r="BC41" s="16"/>
      <c r="BD41" s="6"/>
      <c r="BE41" s="16"/>
      <c r="BF41" s="6"/>
      <c r="BG41" s="16"/>
      <c r="BH41" s="6"/>
      <c r="BI41" s="16"/>
      <c r="BJ41" s="6"/>
      <c r="BK41" s="16"/>
      <c r="BL41" s="6"/>
      <c r="BM41" s="16"/>
      <c r="BN41" s="6"/>
      <c r="BO41" s="16"/>
      <c r="BP41" s="6"/>
      <c r="BQ41" s="16"/>
      <c r="BR41" s="6"/>
      <c r="BS41" s="16"/>
      <c r="BT41" s="6"/>
      <c r="BU41" s="16"/>
      <c r="BV41" s="6"/>
      <c r="BW41" s="16"/>
      <c r="BX41" s="6"/>
      <c r="BY41" s="16"/>
      <c r="BZ41" s="6"/>
      <c r="CA41" s="16"/>
      <c r="CB41" s="6"/>
      <c r="CC41" s="16"/>
      <c r="CD41" s="6"/>
      <c r="CE41" s="16"/>
      <c r="CF41" s="16"/>
      <c r="CG41" s="16"/>
      <c r="CH41" s="6"/>
      <c r="CI41" s="16"/>
      <c r="CJ41" s="6"/>
      <c r="CK41" s="16"/>
      <c r="CL41" s="6"/>
      <c r="CM41" s="16"/>
      <c r="CN41" s="6"/>
      <c r="CO41" s="16"/>
      <c r="CP41" s="6"/>
      <c r="CQ41" s="16"/>
      <c r="CR41" s="6"/>
      <c r="CS41" s="16"/>
      <c r="CT41" s="6"/>
      <c r="CU41" s="16"/>
    </row>
    <row r="42">
      <c r="A42" s="16"/>
      <c r="B42" s="16"/>
      <c r="C42" s="16"/>
      <c r="D42" s="6"/>
      <c r="E42" s="16"/>
      <c r="F42" s="6"/>
      <c r="G42" s="16"/>
      <c r="H42" s="6"/>
      <c r="I42" s="16"/>
      <c r="J42" s="6"/>
      <c r="K42" s="16"/>
      <c r="L42" s="6"/>
      <c r="M42" s="16"/>
      <c r="N42" s="6"/>
      <c r="O42" s="16"/>
      <c r="P42" s="6"/>
      <c r="Q42" s="25"/>
      <c r="R42" s="6"/>
      <c r="S42" s="16"/>
      <c r="T42" s="6"/>
      <c r="U42" s="16"/>
      <c r="V42" s="6"/>
      <c r="W42" s="16"/>
      <c r="X42" s="6"/>
      <c r="Y42" s="16"/>
      <c r="Z42" s="6"/>
      <c r="AA42" s="16"/>
      <c r="AB42" s="6"/>
      <c r="AC42" s="16"/>
      <c r="AD42" s="6"/>
      <c r="AE42" s="16"/>
      <c r="AF42" s="6"/>
      <c r="AG42" s="16"/>
      <c r="AH42" s="6"/>
      <c r="AI42" s="16"/>
      <c r="AJ42" s="6"/>
      <c r="AK42" s="16"/>
      <c r="AL42" s="6"/>
      <c r="AM42" s="16"/>
      <c r="AN42" s="6"/>
      <c r="AO42" s="16"/>
      <c r="AP42" s="6"/>
      <c r="AQ42" s="16"/>
      <c r="AR42" s="6"/>
      <c r="AS42" s="16"/>
      <c r="AT42" s="6"/>
      <c r="AU42" s="16"/>
      <c r="AV42" s="6"/>
      <c r="AW42" s="16"/>
      <c r="AX42" s="6"/>
      <c r="AY42" s="16"/>
      <c r="AZ42" s="6"/>
      <c r="BA42" s="16"/>
      <c r="BB42" s="6"/>
      <c r="BC42" s="16"/>
      <c r="BD42" s="6"/>
      <c r="BE42" s="16"/>
      <c r="BF42" s="6"/>
      <c r="BG42" s="16"/>
      <c r="BH42" s="6"/>
      <c r="BI42" s="16"/>
      <c r="BJ42" s="6"/>
      <c r="BK42" s="16"/>
      <c r="BL42" s="6"/>
      <c r="BM42" s="16"/>
      <c r="BN42" s="6"/>
      <c r="BO42" s="16"/>
      <c r="BP42" s="6"/>
      <c r="BQ42" s="16"/>
      <c r="BR42" s="6"/>
      <c r="BS42" s="16"/>
      <c r="BT42" s="6"/>
      <c r="BU42" s="16"/>
      <c r="BV42" s="6"/>
      <c r="BW42" s="16"/>
      <c r="BX42" s="6"/>
      <c r="BY42" s="16"/>
      <c r="BZ42" s="6"/>
      <c r="CA42" s="16"/>
      <c r="CB42" s="6"/>
      <c r="CC42" s="16"/>
      <c r="CD42" s="6"/>
      <c r="CE42" s="16"/>
      <c r="CF42" s="16"/>
      <c r="CG42" s="16"/>
      <c r="CH42" s="6"/>
      <c r="CI42" s="16"/>
      <c r="CJ42" s="6"/>
      <c r="CK42" s="16"/>
      <c r="CL42" s="6"/>
      <c r="CM42" s="16"/>
      <c r="CN42" s="6"/>
      <c r="CO42" s="16"/>
      <c r="CP42" s="6"/>
      <c r="CQ42" s="16"/>
      <c r="CR42" s="6"/>
      <c r="CS42" s="16"/>
      <c r="CT42" s="6"/>
      <c r="CU42" s="16"/>
    </row>
    <row r="43">
      <c r="A43" s="16"/>
      <c r="B43" s="16"/>
      <c r="C43" s="16"/>
      <c r="D43" s="6"/>
      <c r="E43" s="16"/>
      <c r="F43" s="6"/>
      <c r="G43" s="16"/>
      <c r="H43" s="6"/>
      <c r="I43" s="16"/>
      <c r="J43" s="6"/>
      <c r="K43" s="16"/>
      <c r="L43" s="6"/>
      <c r="M43" s="25"/>
      <c r="N43" s="6"/>
      <c r="O43" s="16"/>
      <c r="P43" s="6"/>
      <c r="Q43" s="16"/>
      <c r="R43" s="6"/>
      <c r="S43" s="16"/>
      <c r="T43" s="6"/>
      <c r="U43" s="16"/>
      <c r="V43" s="6"/>
      <c r="W43" s="16"/>
      <c r="X43" s="6"/>
      <c r="Y43" s="16"/>
      <c r="Z43" s="6"/>
      <c r="AA43" s="16"/>
      <c r="AB43" s="6"/>
      <c r="AC43" s="16"/>
      <c r="AD43" s="6"/>
      <c r="AE43" s="16"/>
      <c r="AF43" s="6"/>
      <c r="AG43" s="16"/>
      <c r="AH43" s="6"/>
      <c r="AI43" s="16"/>
      <c r="AJ43" s="6"/>
      <c r="AK43" s="16"/>
      <c r="AL43" s="6"/>
      <c r="AM43" s="16"/>
      <c r="AN43" s="6"/>
      <c r="AO43" s="16"/>
      <c r="AP43" s="6"/>
      <c r="AQ43" s="16"/>
      <c r="AR43" s="6"/>
      <c r="AS43" s="16"/>
      <c r="AT43" s="6"/>
      <c r="AU43" s="16"/>
      <c r="AV43" s="6"/>
      <c r="AW43" s="16"/>
      <c r="AX43" s="6"/>
      <c r="AY43" s="16"/>
      <c r="AZ43" s="6"/>
      <c r="BA43" s="16"/>
      <c r="BB43" s="6"/>
      <c r="BC43" s="16"/>
      <c r="BD43" s="6"/>
      <c r="BE43" s="16"/>
      <c r="BF43" s="6"/>
      <c r="BG43" s="16"/>
      <c r="BH43" s="6"/>
      <c r="BI43" s="16"/>
      <c r="BJ43" s="6"/>
      <c r="BK43" s="16"/>
      <c r="BL43" s="6"/>
      <c r="BM43" s="16"/>
      <c r="BN43" s="6"/>
      <c r="BO43" s="16"/>
      <c r="BP43" s="6"/>
      <c r="BQ43" s="16"/>
      <c r="BR43" s="6"/>
      <c r="BS43" s="16"/>
      <c r="BT43" s="6"/>
      <c r="BU43" s="16"/>
      <c r="BV43" s="6"/>
      <c r="BW43" s="16"/>
      <c r="BX43" s="6"/>
      <c r="BY43" s="16"/>
      <c r="BZ43" s="6"/>
      <c r="CA43" s="16"/>
      <c r="CB43" s="6"/>
      <c r="CC43" s="16"/>
      <c r="CD43" s="6"/>
      <c r="CE43" s="16"/>
      <c r="CF43" s="16"/>
      <c r="CG43" s="16"/>
      <c r="CH43" s="6"/>
      <c r="CI43" s="16"/>
      <c r="CJ43" s="6"/>
      <c r="CK43" s="16"/>
      <c r="CL43" s="6"/>
      <c r="CM43" s="16"/>
      <c r="CN43" s="6"/>
      <c r="CO43" s="16"/>
      <c r="CP43" s="6"/>
      <c r="CQ43" s="16"/>
      <c r="CR43" s="6"/>
      <c r="CS43" s="16"/>
      <c r="CT43" s="6"/>
      <c r="CU43" s="16"/>
    </row>
    <row r="44">
      <c r="A44" s="16"/>
      <c r="B44" s="16"/>
      <c r="C44" s="16"/>
      <c r="D44" s="6"/>
      <c r="E44" s="16"/>
      <c r="F44" s="6"/>
      <c r="G44" s="16"/>
      <c r="H44" s="6"/>
      <c r="I44" s="16"/>
      <c r="J44" s="6"/>
      <c r="K44" s="16"/>
      <c r="L44" s="6"/>
      <c r="M44" s="16"/>
      <c r="N44" s="6"/>
      <c r="O44" s="16"/>
      <c r="P44" s="6"/>
      <c r="Q44" s="16"/>
      <c r="R44" s="6"/>
      <c r="S44" s="16"/>
      <c r="T44" s="6"/>
      <c r="U44" s="16"/>
      <c r="V44" s="6"/>
      <c r="W44" s="16"/>
      <c r="X44" s="6"/>
      <c r="Y44" s="16"/>
      <c r="Z44" s="6"/>
      <c r="AA44" s="16"/>
      <c r="AB44" s="6"/>
      <c r="AC44" s="16"/>
      <c r="AD44" s="6"/>
      <c r="AE44" s="16"/>
      <c r="AF44" s="6"/>
      <c r="AG44" s="16"/>
      <c r="AH44" s="6"/>
      <c r="AI44" s="16"/>
      <c r="AJ44" s="6"/>
      <c r="AK44" s="16"/>
      <c r="AL44" s="6"/>
      <c r="AM44" s="16"/>
      <c r="AN44" s="6"/>
      <c r="AO44" s="16"/>
      <c r="AP44" s="6"/>
      <c r="AQ44" s="16"/>
      <c r="AR44" s="6"/>
      <c r="AS44" s="16"/>
      <c r="AT44" s="6"/>
      <c r="AU44" s="16"/>
      <c r="AV44" s="6"/>
      <c r="AW44" s="16"/>
      <c r="AX44" s="6"/>
      <c r="AY44" s="16"/>
      <c r="AZ44" s="6"/>
      <c r="BA44" s="16"/>
      <c r="BB44" s="6"/>
      <c r="BC44" s="16"/>
      <c r="BD44" s="6"/>
      <c r="BE44" s="16"/>
      <c r="BF44" s="6"/>
      <c r="BG44" s="16"/>
      <c r="BH44" s="6"/>
      <c r="BI44" s="16"/>
      <c r="BJ44" s="6"/>
      <c r="BK44" s="16"/>
      <c r="BL44" s="6"/>
      <c r="BM44" s="16"/>
      <c r="BN44" s="6"/>
      <c r="BO44" s="16"/>
      <c r="BP44" s="6"/>
      <c r="BQ44" s="16"/>
      <c r="BR44" s="6"/>
      <c r="BS44" s="16"/>
      <c r="BT44" s="6"/>
      <c r="BU44" s="16"/>
      <c r="BV44" s="6"/>
      <c r="BW44" s="16"/>
      <c r="BX44" s="6"/>
      <c r="BY44" s="16"/>
      <c r="BZ44" s="6"/>
      <c r="CA44" s="16"/>
      <c r="CB44" s="6"/>
      <c r="CC44" s="16"/>
      <c r="CD44" s="6"/>
      <c r="CE44" s="16"/>
      <c r="CF44" s="6"/>
      <c r="CG44" s="16"/>
      <c r="CH44" s="6"/>
      <c r="CI44" s="16"/>
      <c r="CJ44" s="6"/>
      <c r="CK44" s="16"/>
      <c r="CL44" s="6"/>
      <c r="CM44" s="16"/>
      <c r="CN44" s="6"/>
      <c r="CO44" s="16"/>
      <c r="CP44" s="6"/>
      <c r="CQ44" s="16"/>
      <c r="CR44" s="6"/>
      <c r="CS44" s="16"/>
      <c r="CT44" s="6"/>
      <c r="CU44" s="16"/>
    </row>
    <row r="45">
      <c r="A45" s="16"/>
      <c r="B45" s="16"/>
      <c r="C45" s="16"/>
      <c r="D45" s="6"/>
      <c r="E45" s="16"/>
      <c r="F45" s="6"/>
      <c r="G45" s="16"/>
      <c r="H45" s="6"/>
      <c r="I45" s="16"/>
      <c r="J45" s="6"/>
      <c r="K45" s="16"/>
      <c r="L45" s="6"/>
      <c r="M45" s="16"/>
      <c r="N45" s="6"/>
      <c r="O45" s="16"/>
      <c r="P45" s="6"/>
      <c r="Q45" s="16"/>
      <c r="R45" s="6"/>
      <c r="S45" s="16"/>
      <c r="T45" s="6"/>
      <c r="U45" s="16"/>
      <c r="V45" s="6"/>
      <c r="W45" s="16"/>
      <c r="X45" s="6"/>
      <c r="Y45" s="16"/>
      <c r="Z45" s="6"/>
      <c r="AA45" s="16"/>
      <c r="AB45" s="6"/>
      <c r="AC45" s="16"/>
      <c r="AD45" s="6"/>
      <c r="AE45" s="16"/>
      <c r="AF45" s="6"/>
      <c r="AG45" s="16"/>
      <c r="AH45" s="6"/>
      <c r="AI45" s="16"/>
      <c r="AJ45" s="6"/>
      <c r="AK45" s="16"/>
      <c r="AL45" s="6"/>
      <c r="AM45" s="16"/>
      <c r="AN45" s="6"/>
      <c r="AO45" s="16"/>
      <c r="AP45" s="6"/>
      <c r="AQ45" s="16"/>
      <c r="AR45" s="6"/>
      <c r="AS45" s="16"/>
      <c r="AT45" s="6"/>
      <c r="AU45" s="16"/>
      <c r="AV45" s="6"/>
      <c r="AW45" s="16"/>
      <c r="AX45" s="6"/>
      <c r="AY45" s="16"/>
      <c r="AZ45" s="6"/>
      <c r="BA45" s="16"/>
      <c r="BB45" s="6"/>
      <c r="BC45" s="16"/>
      <c r="BD45" s="6"/>
      <c r="BE45" s="16"/>
      <c r="BF45" s="6"/>
      <c r="BG45" s="16"/>
      <c r="BH45" s="6"/>
      <c r="BI45" s="16"/>
      <c r="BJ45" s="6"/>
      <c r="BK45" s="16"/>
      <c r="BL45" s="6"/>
      <c r="BM45" s="16"/>
      <c r="BN45" s="6"/>
      <c r="BO45" s="16"/>
      <c r="BP45" s="6"/>
      <c r="BQ45" s="16"/>
      <c r="BR45" s="6"/>
      <c r="BS45" s="16"/>
      <c r="BT45" s="6"/>
      <c r="BU45" s="16"/>
      <c r="BV45" s="6"/>
      <c r="BW45" s="16"/>
      <c r="BX45" s="6"/>
      <c r="BY45" s="16"/>
      <c r="BZ45" s="6"/>
      <c r="CA45" s="16"/>
      <c r="CB45" s="6"/>
      <c r="CC45" s="16"/>
      <c r="CD45" s="6"/>
      <c r="CE45" s="16"/>
      <c r="CF45" s="6"/>
      <c r="CG45" s="16"/>
      <c r="CH45" s="6"/>
      <c r="CI45" s="16"/>
      <c r="CJ45" s="6"/>
      <c r="CK45" s="16"/>
      <c r="CL45" s="6"/>
      <c r="CM45" s="16"/>
      <c r="CN45" s="6"/>
      <c r="CO45" s="16"/>
      <c r="CP45" s="6"/>
      <c r="CQ45" s="16"/>
      <c r="CR45" s="6"/>
      <c r="CS45" s="16"/>
      <c r="CT45" s="6"/>
      <c r="CU45" s="16"/>
    </row>
    <row r="46">
      <c r="A46" s="16"/>
      <c r="B46" s="16"/>
      <c r="C46" s="16"/>
      <c r="D46" s="6"/>
      <c r="E46" s="16"/>
      <c r="F46" s="6"/>
      <c r="G46" s="16"/>
      <c r="H46" s="6"/>
      <c r="I46" s="16"/>
      <c r="J46" s="6"/>
      <c r="K46" s="16"/>
      <c r="L46" s="6"/>
      <c r="M46" s="16"/>
      <c r="N46" s="6"/>
      <c r="O46" s="16"/>
      <c r="P46" s="6"/>
      <c r="Q46" s="16"/>
      <c r="R46" s="6"/>
      <c r="S46" s="16"/>
      <c r="T46" s="6"/>
      <c r="U46" s="16"/>
      <c r="V46" s="6"/>
      <c r="W46" s="16"/>
      <c r="X46" s="6"/>
      <c r="Y46" s="16"/>
      <c r="Z46" s="6"/>
      <c r="AA46" s="16"/>
      <c r="AB46" s="6"/>
      <c r="AC46" s="16"/>
      <c r="AD46" s="6"/>
      <c r="AE46" s="16"/>
      <c r="AF46" s="6"/>
      <c r="AG46" s="16"/>
      <c r="AH46" s="6"/>
      <c r="AI46" s="16"/>
      <c r="AJ46" s="6"/>
      <c r="AK46" s="16"/>
      <c r="AL46" s="6"/>
      <c r="AM46" s="16"/>
      <c r="AN46" s="6"/>
      <c r="AO46" s="16"/>
      <c r="AP46" s="6"/>
      <c r="AQ46" s="16"/>
      <c r="AR46" s="6"/>
      <c r="AS46" s="16"/>
      <c r="AT46" s="6"/>
      <c r="AU46" s="16"/>
      <c r="AV46" s="6"/>
      <c r="AW46" s="16"/>
      <c r="AX46" s="6"/>
      <c r="AY46" s="16"/>
      <c r="AZ46" s="6"/>
      <c r="BA46" s="16"/>
      <c r="BB46" s="6"/>
      <c r="BC46" s="16"/>
      <c r="BD46" s="6"/>
      <c r="BE46" s="16"/>
      <c r="BF46" s="6"/>
      <c r="BG46" s="16"/>
      <c r="BH46" s="6"/>
      <c r="BI46" s="16"/>
      <c r="BJ46" s="6"/>
      <c r="BK46" s="16"/>
      <c r="BL46" s="6"/>
      <c r="BM46" s="16"/>
      <c r="BN46" s="6"/>
      <c r="BO46" s="16"/>
      <c r="BP46" s="6"/>
      <c r="BQ46" s="16"/>
      <c r="BR46" s="6"/>
      <c r="BS46" s="16"/>
      <c r="BT46" s="6"/>
      <c r="BU46" s="16"/>
      <c r="BV46" s="6"/>
      <c r="BW46" s="16"/>
      <c r="BX46" s="6"/>
      <c r="BY46" s="16"/>
      <c r="BZ46" s="6"/>
      <c r="CA46" s="16"/>
      <c r="CB46" s="6"/>
      <c r="CC46" s="16"/>
      <c r="CD46" s="6"/>
      <c r="CE46" s="16"/>
      <c r="CF46" s="16"/>
      <c r="CG46" s="16"/>
      <c r="CH46" s="6"/>
      <c r="CI46" s="16"/>
      <c r="CJ46" s="6"/>
      <c r="CK46" s="16"/>
      <c r="CL46" s="6"/>
      <c r="CM46" s="16"/>
      <c r="CN46" s="6"/>
      <c r="CO46" s="16"/>
      <c r="CP46" s="6"/>
      <c r="CQ46" s="16"/>
      <c r="CR46" s="6"/>
      <c r="CS46" s="16"/>
      <c r="CT46" s="6"/>
      <c r="CU46" s="16"/>
    </row>
    <row r="48">
      <c r="A48" s="14"/>
      <c r="B48" s="14"/>
      <c r="C48" s="26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</row>
    <row r="49">
      <c r="A49" s="14"/>
      <c r="B49" s="14"/>
      <c r="C49" s="26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12"/>
      <c r="M52" s="12"/>
      <c r="N52" s="9"/>
      <c r="O52" s="7"/>
      <c r="P52" s="7"/>
      <c r="Q52" s="11"/>
      <c r="R52" s="7"/>
      <c r="S52" s="7"/>
      <c r="T52" s="6"/>
      <c r="U52" s="7"/>
      <c r="V52" s="7"/>
      <c r="W52" s="6"/>
      <c r="X52" s="6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9"/>
      <c r="O53" s="7"/>
      <c r="P53" s="7"/>
      <c r="Q53" s="11"/>
      <c r="R53" s="7"/>
      <c r="S53" s="7"/>
      <c r="T53" s="6"/>
      <c r="U53" s="7"/>
      <c r="V53" s="7"/>
      <c r="W53" s="6"/>
      <c r="X53" s="6"/>
    </row>
  </sheetData>
  <drawing r:id="rId1"/>
</worksheet>
</file>