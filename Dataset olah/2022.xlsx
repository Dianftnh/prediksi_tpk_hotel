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</sheets>
  <definedNames/>
  <calcPr/>
</workbook>
</file>

<file path=xl/sharedStrings.xml><?xml version="1.0" encoding="utf-8"?>
<sst xmlns="http://schemas.openxmlformats.org/spreadsheetml/2006/main" count="460" uniqueCount="42">
  <si>
    <t>Tahun</t>
  </si>
  <si>
    <t>Bulan</t>
  </si>
  <si>
    <t>Provinsi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</si>
  <si>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</si>
  <si>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</si>
  <si>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</si>
  <si>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</si>
  <si>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</si>
  <si>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</si>
  <si>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</si>
  <si>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</si>
  <si>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</si>
  <si>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</si>
  <si>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</si>
  <si>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</si>
  <si>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</si>
  <si>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</si>
  <si>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</si>
  <si>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</si>
  <si>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</si>
  <si>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</si>
  <si>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</si>
  <si>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</si>
  <si>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</si>
  <si>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</si>
  <si>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</si>
  <si>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</si>
  <si>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</si>
  <si>
    <t>2022</t>
  </si>
  <si>
    <t>1</t>
  </si>
  <si>
    <t>18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</si>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</sst>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3" xfId="0" applyAlignment="1" applyFont="1" applyNumberForma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2" numFmtId="2" xfId="0" applyAlignment="1" applyFont="1" applyNumberFormat="1">
      <alignment readingOrder="0" shrinkToFit="0" vertical="bottom" wrapText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10" xfId="0" applyFont="1" applyNumberFormat="1"/>
    <xf borderId="0" fillId="0" fontId="5" numFmtId="4" xfId="0" applyFont="1" applyNumberFormat="1"/>
    <xf borderId="0" fillId="0" fontId="5" numFmtId="3" xfId="0" applyFont="1" applyNumberFormat="1"/>
    <xf borderId="0" fillId="0" fontId="5" numFmtId="1" xfId="0" applyFont="1" applyNumberForma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38"/>
    <col customWidth="1" min="3" max="3" width="8.88"/>
    <col customWidth="1" min="4" max="4" width="7.38"/>
    <col customWidth="1" min="5" max="5" width="8.25"/>
    <col customWidth="1" min="7" max="7" width="9.63"/>
    <col customWidth="1" min="8" max="8" width="10.63"/>
    <col customWidth="1" min="9" max="9" width="10.75"/>
    <col customWidth="1" min="10" max="10" width="10.88"/>
    <col customWidth="1" min="11" max="11" width="9.75"/>
    <col customWidth="1" min="12" max="12" width="12.63"/>
    <col customWidth="1" min="26" max="26" width="10.13"/>
    <col customWidth="1" min="28" max="28" width="10.75"/>
    <col customWidth="1" min="30" max="3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4" t="s">
        <v>23</v>
      </c>
      <c r="Y1" s="3" t="s">
        <v>24</v>
      </c>
      <c r="Z1" s="5" t="s">
        <v>25</v>
      </c>
      <c r="AA1" s="6" t="s">
        <v>26</v>
      </c>
      <c r="AB1" s="7" t="s">
        <v>27</v>
      </c>
      <c r="AC1" s="8"/>
      <c r="AD1" s="8"/>
      <c r="AE1" s="8"/>
    </row>
    <row r="2">
      <c r="A2" s="9" t="s">
        <v>28</v>
      </c>
      <c r="B2" s="9" t="s">
        <v>29</v>
      </c>
      <c r="C2" s="9" t="s">
        <v>30</v>
      </c>
      <c r="D2" s="9" t="s">
        <v>29</v>
      </c>
      <c r="E2" s="10">
        <v>2325.0</v>
      </c>
      <c r="F2" s="10">
        <v>3968.0</v>
      </c>
      <c r="G2" s="10">
        <v>1647.0</v>
      </c>
      <c r="H2" s="10">
        <v>1624.0</v>
      </c>
      <c r="I2" s="10">
        <v>1647.0</v>
      </c>
      <c r="J2" s="10">
        <v>0.0</v>
      </c>
      <c r="K2" s="10">
        <v>3466.0</v>
      </c>
      <c r="L2" s="10">
        <v>0.0</v>
      </c>
      <c r="M2" s="10">
        <v>3262.0</v>
      </c>
      <c r="N2" s="10">
        <v>0.0</v>
      </c>
      <c r="O2" s="10">
        <v>3294.0</v>
      </c>
      <c r="P2" s="10">
        <f t="shared" ref="P2:P109" si="2">E2</f>
        <v>2325</v>
      </c>
      <c r="Q2" s="10">
        <f t="shared" ref="Q2:Q109" si="3">G2+H2-I2</f>
        <v>1624</v>
      </c>
      <c r="R2" s="11">
        <f t="shared" ref="R2:R109" si="4">Q2/P2*100</f>
        <v>69.84946237</v>
      </c>
      <c r="S2" s="11">
        <f t="shared" ref="S2:S109" si="5">J2+L2-N2</f>
        <v>0</v>
      </c>
      <c r="T2" s="11">
        <f t="shared" ref="T2:T109" si="6">L2</f>
        <v>0</v>
      </c>
      <c r="U2" s="11" t="str">
        <f t="shared" ref="U2:U109" si="7">S2/T2</f>
        <v>#DIV/0!</v>
      </c>
      <c r="V2" s="10">
        <f t="shared" ref="V2:V109" si="8">K2+M2-O2</f>
        <v>3434</v>
      </c>
      <c r="W2" s="10">
        <f t="shared" ref="W2:W109" si="9">M2</f>
        <v>3262</v>
      </c>
      <c r="X2" s="11">
        <f t="shared" ref="X2:X109" si="10">V2/W2</f>
        <v>1.052728387</v>
      </c>
      <c r="Y2" s="10">
        <f t="shared" ref="Y2:Z2" si="1">S2+V2</f>
        <v>3434</v>
      </c>
      <c r="Z2" s="12">
        <f t="shared" si="1"/>
        <v>3262</v>
      </c>
      <c r="AA2" s="13">
        <f t="shared" ref="AA2:AA109" si="12">Y2/Z2</f>
        <v>1.052728387</v>
      </c>
      <c r="AB2" s="14">
        <f t="shared" ref="AB2:AB109" si="13">Y2/F2*100</f>
        <v>86.54233871</v>
      </c>
      <c r="AC2" s="14"/>
      <c r="AD2" s="14"/>
      <c r="AE2" s="14"/>
    </row>
    <row r="3">
      <c r="A3" s="9" t="s">
        <v>28</v>
      </c>
      <c r="B3" s="9" t="s">
        <v>29</v>
      </c>
      <c r="C3" s="9" t="s">
        <v>30</v>
      </c>
      <c r="D3" s="9" t="s">
        <v>29</v>
      </c>
      <c r="E3" s="10">
        <v>3100.0</v>
      </c>
      <c r="F3" s="10">
        <v>6200.0</v>
      </c>
      <c r="G3" s="10">
        <v>791.0</v>
      </c>
      <c r="H3" s="10">
        <v>692.0</v>
      </c>
      <c r="I3" s="10">
        <v>706.0</v>
      </c>
      <c r="J3" s="10">
        <v>0.0</v>
      </c>
      <c r="K3" s="10">
        <v>1582.0</v>
      </c>
      <c r="L3" s="10">
        <v>0.0</v>
      </c>
      <c r="M3" s="10">
        <v>1384.0</v>
      </c>
      <c r="N3" s="10">
        <v>0.0</v>
      </c>
      <c r="O3" s="10">
        <v>1412.0</v>
      </c>
      <c r="P3" s="10">
        <f t="shared" si="2"/>
        <v>3100</v>
      </c>
      <c r="Q3" s="10">
        <f t="shared" si="3"/>
        <v>777</v>
      </c>
      <c r="R3" s="11">
        <f t="shared" si="4"/>
        <v>25.06451613</v>
      </c>
      <c r="S3" s="11">
        <f t="shared" si="5"/>
        <v>0</v>
      </c>
      <c r="T3" s="11">
        <f t="shared" si="6"/>
        <v>0</v>
      </c>
      <c r="U3" s="11" t="str">
        <f t="shared" si="7"/>
        <v>#DIV/0!</v>
      </c>
      <c r="V3" s="10">
        <f t="shared" si="8"/>
        <v>1554</v>
      </c>
      <c r="W3" s="10">
        <f t="shared" si="9"/>
        <v>1384</v>
      </c>
      <c r="X3" s="11">
        <f t="shared" si="10"/>
        <v>1.12283237</v>
      </c>
      <c r="Y3" s="10">
        <f t="shared" ref="Y3:Z3" si="11">S3+V3</f>
        <v>1554</v>
      </c>
      <c r="Z3" s="12">
        <f t="shared" si="11"/>
        <v>1384</v>
      </c>
      <c r="AA3" s="13">
        <f t="shared" si="12"/>
        <v>1.12283237</v>
      </c>
      <c r="AB3" s="14">
        <f t="shared" si="13"/>
        <v>25.06451613</v>
      </c>
      <c r="AC3" s="14"/>
      <c r="AD3" s="14"/>
      <c r="AE3" s="14"/>
    </row>
    <row r="4">
      <c r="A4" s="9" t="s">
        <v>28</v>
      </c>
      <c r="B4" s="9" t="s">
        <v>29</v>
      </c>
      <c r="C4" s="9" t="s">
        <v>30</v>
      </c>
      <c r="D4" s="9" t="s">
        <v>29</v>
      </c>
      <c r="E4" s="10">
        <v>682.0</v>
      </c>
      <c r="F4" s="10">
        <v>899.0</v>
      </c>
      <c r="G4" s="10">
        <v>166.0</v>
      </c>
      <c r="H4" s="10">
        <v>105.0</v>
      </c>
      <c r="I4" s="10">
        <v>102.0</v>
      </c>
      <c r="J4" s="10">
        <v>0.0</v>
      </c>
      <c r="K4" s="10">
        <v>166.0</v>
      </c>
      <c r="L4" s="10">
        <v>0.0</v>
      </c>
      <c r="M4" s="10">
        <v>105.0</v>
      </c>
      <c r="N4" s="10">
        <v>0.0</v>
      </c>
      <c r="O4" s="10">
        <v>102.0</v>
      </c>
      <c r="P4" s="10">
        <f t="shared" si="2"/>
        <v>682</v>
      </c>
      <c r="Q4" s="10">
        <f t="shared" si="3"/>
        <v>169</v>
      </c>
      <c r="R4" s="11">
        <f t="shared" si="4"/>
        <v>24.78005865</v>
      </c>
      <c r="S4" s="11">
        <f t="shared" si="5"/>
        <v>0</v>
      </c>
      <c r="T4" s="11">
        <f t="shared" si="6"/>
        <v>0</v>
      </c>
      <c r="U4" s="11" t="str">
        <f t="shared" si="7"/>
        <v>#DIV/0!</v>
      </c>
      <c r="V4" s="10">
        <f t="shared" si="8"/>
        <v>169</v>
      </c>
      <c r="W4" s="10">
        <f t="shared" si="9"/>
        <v>105</v>
      </c>
      <c r="X4" s="11">
        <f t="shared" si="10"/>
        <v>1.60952381</v>
      </c>
      <c r="Y4" s="10">
        <f t="shared" ref="Y4:Z4" si="14">S4+V4</f>
        <v>169</v>
      </c>
      <c r="Z4" s="12">
        <f t="shared" si="14"/>
        <v>105</v>
      </c>
      <c r="AA4" s="13">
        <f t="shared" si="12"/>
        <v>1.60952381</v>
      </c>
      <c r="AB4" s="14">
        <f t="shared" si="13"/>
        <v>18.79866518</v>
      </c>
      <c r="AC4" s="14"/>
      <c r="AD4" s="14"/>
      <c r="AE4" s="14"/>
    </row>
    <row r="5">
      <c r="A5" s="9" t="s">
        <v>28</v>
      </c>
      <c r="B5" s="9" t="s">
        <v>29</v>
      </c>
      <c r="C5" s="9" t="s">
        <v>30</v>
      </c>
      <c r="D5" s="9" t="s">
        <v>29</v>
      </c>
      <c r="E5" s="10">
        <v>1922.0</v>
      </c>
      <c r="F5" s="10">
        <v>2976.0</v>
      </c>
      <c r="G5" s="10">
        <v>657.0</v>
      </c>
      <c r="H5" s="10">
        <v>473.0</v>
      </c>
      <c r="I5" s="10">
        <v>447.0</v>
      </c>
      <c r="J5" s="10">
        <v>0.0</v>
      </c>
      <c r="K5" s="10">
        <v>1140.0</v>
      </c>
      <c r="L5" s="10">
        <v>0.0</v>
      </c>
      <c r="M5" s="10">
        <v>852.0</v>
      </c>
      <c r="N5" s="10">
        <v>0.0</v>
      </c>
      <c r="O5" s="10">
        <v>805.0</v>
      </c>
      <c r="P5" s="10">
        <f t="shared" si="2"/>
        <v>1922</v>
      </c>
      <c r="Q5" s="10">
        <f t="shared" si="3"/>
        <v>683</v>
      </c>
      <c r="R5" s="11">
        <f t="shared" si="4"/>
        <v>35.5359001</v>
      </c>
      <c r="S5" s="11">
        <f t="shared" si="5"/>
        <v>0</v>
      </c>
      <c r="T5" s="11">
        <f t="shared" si="6"/>
        <v>0</v>
      </c>
      <c r="U5" s="11" t="str">
        <f t="shared" si="7"/>
        <v>#DIV/0!</v>
      </c>
      <c r="V5" s="10">
        <f t="shared" si="8"/>
        <v>1187</v>
      </c>
      <c r="W5" s="10">
        <f t="shared" si="9"/>
        <v>852</v>
      </c>
      <c r="X5" s="11">
        <f t="shared" si="10"/>
        <v>1.393192488</v>
      </c>
      <c r="Y5" s="10">
        <f t="shared" ref="Y5:Z5" si="15">S5+V5</f>
        <v>1187</v>
      </c>
      <c r="Z5" s="12">
        <f t="shared" si="15"/>
        <v>852</v>
      </c>
      <c r="AA5" s="13">
        <f t="shared" si="12"/>
        <v>1.393192488</v>
      </c>
      <c r="AB5" s="14">
        <f t="shared" si="13"/>
        <v>39.88575269</v>
      </c>
      <c r="AC5" s="14"/>
      <c r="AD5" s="14"/>
      <c r="AE5" s="14"/>
    </row>
    <row r="6">
      <c r="A6" s="9" t="s">
        <v>28</v>
      </c>
      <c r="B6" s="9" t="s">
        <v>29</v>
      </c>
      <c r="C6" s="9" t="s">
        <v>30</v>
      </c>
      <c r="D6" s="9" t="s">
        <v>29</v>
      </c>
      <c r="E6" s="10">
        <v>2666.0</v>
      </c>
      <c r="F6" s="10">
        <v>3782.0</v>
      </c>
      <c r="G6" s="10">
        <v>992.0</v>
      </c>
      <c r="H6" s="10">
        <v>863.0</v>
      </c>
      <c r="I6" s="10">
        <v>855.0</v>
      </c>
      <c r="J6" s="10">
        <v>2.0</v>
      </c>
      <c r="K6" s="10">
        <v>2397.0</v>
      </c>
      <c r="L6" s="10">
        <v>2.0</v>
      </c>
      <c r="M6" s="10">
        <v>1724.0</v>
      </c>
      <c r="N6" s="10">
        <v>0.0</v>
      </c>
      <c r="O6" s="10">
        <v>1666.0</v>
      </c>
      <c r="P6" s="10">
        <f t="shared" si="2"/>
        <v>2666</v>
      </c>
      <c r="Q6" s="10">
        <f t="shared" si="3"/>
        <v>1000</v>
      </c>
      <c r="R6" s="11">
        <f t="shared" si="4"/>
        <v>37.50937734</v>
      </c>
      <c r="S6" s="11">
        <f t="shared" si="5"/>
        <v>4</v>
      </c>
      <c r="T6" s="11">
        <f t="shared" si="6"/>
        <v>2</v>
      </c>
      <c r="U6" s="11">
        <f t="shared" si="7"/>
        <v>2</v>
      </c>
      <c r="V6" s="10">
        <f t="shared" si="8"/>
        <v>2455</v>
      </c>
      <c r="W6" s="10">
        <f t="shared" si="9"/>
        <v>1724</v>
      </c>
      <c r="X6" s="11">
        <f t="shared" si="10"/>
        <v>1.424013921</v>
      </c>
      <c r="Y6" s="10">
        <f t="shared" ref="Y6:Z6" si="16">S6+V6</f>
        <v>2459</v>
      </c>
      <c r="Z6" s="12">
        <f t="shared" si="16"/>
        <v>1726</v>
      </c>
      <c r="AA6" s="13">
        <f t="shared" si="12"/>
        <v>1.424681344</v>
      </c>
      <c r="AB6" s="14">
        <f t="shared" si="13"/>
        <v>65.01850873</v>
      </c>
      <c r="AC6" s="14"/>
      <c r="AD6" s="14"/>
      <c r="AE6" s="14"/>
    </row>
    <row r="7">
      <c r="A7" s="9" t="s">
        <v>28</v>
      </c>
      <c r="B7" s="9" t="s">
        <v>29</v>
      </c>
      <c r="C7" s="9" t="s">
        <v>30</v>
      </c>
      <c r="D7" s="9" t="s">
        <v>29</v>
      </c>
      <c r="E7" s="10">
        <v>5208.0</v>
      </c>
      <c r="F7" s="10">
        <v>7316.0</v>
      </c>
      <c r="G7" s="10">
        <v>2827.0</v>
      </c>
      <c r="H7" s="10">
        <v>2391.0</v>
      </c>
      <c r="I7" s="10">
        <v>2478.0</v>
      </c>
      <c r="J7" s="10">
        <v>0.0</v>
      </c>
      <c r="K7" s="10">
        <v>5118.0</v>
      </c>
      <c r="L7" s="10">
        <v>0.0</v>
      </c>
      <c r="M7" s="10">
        <v>4280.0</v>
      </c>
      <c r="N7" s="10">
        <v>0.0</v>
      </c>
      <c r="O7" s="10">
        <v>4441.0</v>
      </c>
      <c r="P7" s="10">
        <f t="shared" si="2"/>
        <v>5208</v>
      </c>
      <c r="Q7" s="10">
        <f t="shared" si="3"/>
        <v>2740</v>
      </c>
      <c r="R7" s="11">
        <f t="shared" si="4"/>
        <v>52.61136713</v>
      </c>
      <c r="S7" s="11">
        <f t="shared" si="5"/>
        <v>0</v>
      </c>
      <c r="T7" s="11">
        <f t="shared" si="6"/>
        <v>0</v>
      </c>
      <c r="U7" s="11" t="str">
        <f t="shared" si="7"/>
        <v>#DIV/0!</v>
      </c>
      <c r="V7" s="10">
        <f t="shared" si="8"/>
        <v>4957</v>
      </c>
      <c r="W7" s="10">
        <f t="shared" si="9"/>
        <v>4280</v>
      </c>
      <c r="X7" s="11">
        <f t="shared" si="10"/>
        <v>1.15817757</v>
      </c>
      <c r="Y7" s="10">
        <f t="shared" ref="Y7:Z7" si="17">S7+V7</f>
        <v>4957</v>
      </c>
      <c r="Z7" s="12">
        <f t="shared" si="17"/>
        <v>4280</v>
      </c>
      <c r="AA7" s="13">
        <f t="shared" si="12"/>
        <v>1.15817757</v>
      </c>
      <c r="AB7" s="14">
        <f t="shared" si="13"/>
        <v>67.75560416</v>
      </c>
      <c r="AC7" s="14"/>
      <c r="AD7" s="14"/>
      <c r="AE7" s="14"/>
    </row>
    <row r="8">
      <c r="A8" s="9" t="s">
        <v>28</v>
      </c>
      <c r="B8" s="9" t="s">
        <v>29</v>
      </c>
      <c r="C8" s="9" t="s">
        <v>30</v>
      </c>
      <c r="D8" s="9" t="s">
        <v>29</v>
      </c>
      <c r="E8" s="10">
        <v>37318.0</v>
      </c>
      <c r="F8" s="10">
        <v>53478.0</v>
      </c>
      <c r="G8" s="10">
        <v>17891.0</v>
      </c>
      <c r="H8" s="10">
        <v>14128.0</v>
      </c>
      <c r="I8" s="10">
        <v>14127.0</v>
      </c>
      <c r="J8" s="10">
        <v>8.0</v>
      </c>
      <c r="K8" s="10">
        <v>28700.0</v>
      </c>
      <c r="L8" s="10">
        <v>8.0</v>
      </c>
      <c r="M8" s="10">
        <v>22837.0</v>
      </c>
      <c r="N8" s="10">
        <v>8.0</v>
      </c>
      <c r="O8" s="10">
        <v>22906.0</v>
      </c>
      <c r="P8" s="10">
        <f t="shared" si="2"/>
        <v>37318</v>
      </c>
      <c r="Q8" s="10">
        <f t="shared" si="3"/>
        <v>17892</v>
      </c>
      <c r="R8" s="11">
        <f t="shared" si="4"/>
        <v>47.94469157</v>
      </c>
      <c r="S8" s="11">
        <f t="shared" si="5"/>
        <v>8</v>
      </c>
      <c r="T8" s="11">
        <f t="shared" si="6"/>
        <v>8</v>
      </c>
      <c r="U8" s="11">
        <f t="shared" si="7"/>
        <v>1</v>
      </c>
      <c r="V8" s="10">
        <f t="shared" si="8"/>
        <v>28631</v>
      </c>
      <c r="W8" s="10">
        <f t="shared" si="9"/>
        <v>22837</v>
      </c>
      <c r="X8" s="11">
        <f t="shared" si="10"/>
        <v>1.253711083</v>
      </c>
      <c r="Y8" s="10">
        <f t="shared" ref="Y8:Z8" si="18">S8+V8</f>
        <v>28639</v>
      </c>
      <c r="Z8" s="12">
        <f t="shared" si="18"/>
        <v>22845</v>
      </c>
      <c r="AA8" s="13">
        <f t="shared" si="12"/>
        <v>1.253622237</v>
      </c>
      <c r="AB8" s="14">
        <f t="shared" si="13"/>
        <v>53.55286286</v>
      </c>
      <c r="AC8" s="14"/>
      <c r="AD8" s="14"/>
      <c r="AE8" s="14"/>
    </row>
    <row r="9">
      <c r="A9" s="9" t="s">
        <v>28</v>
      </c>
      <c r="B9" s="9" t="s">
        <v>29</v>
      </c>
      <c r="C9" s="9" t="s">
        <v>30</v>
      </c>
      <c r="D9" s="9" t="s">
        <v>29</v>
      </c>
      <c r="E9" s="10">
        <v>30235.0</v>
      </c>
      <c r="F9" s="10">
        <v>43472.0</v>
      </c>
      <c r="G9" s="10">
        <v>17331.0</v>
      </c>
      <c r="H9" s="10">
        <v>10575.0</v>
      </c>
      <c r="I9" s="10">
        <v>10504.0</v>
      </c>
      <c r="J9" s="10">
        <v>35.0</v>
      </c>
      <c r="K9" s="10">
        <v>27557.0</v>
      </c>
      <c r="L9" s="10">
        <v>18.0</v>
      </c>
      <c r="M9" s="10">
        <v>18258.0</v>
      </c>
      <c r="N9" s="10">
        <v>16.0</v>
      </c>
      <c r="O9" s="10">
        <v>18141.0</v>
      </c>
      <c r="P9" s="10">
        <f t="shared" si="2"/>
        <v>30235</v>
      </c>
      <c r="Q9" s="10">
        <f t="shared" si="3"/>
        <v>17402</v>
      </c>
      <c r="R9" s="11">
        <f t="shared" si="4"/>
        <v>57.5558128</v>
      </c>
      <c r="S9" s="11">
        <f t="shared" si="5"/>
        <v>37</v>
      </c>
      <c r="T9" s="11">
        <f t="shared" si="6"/>
        <v>18</v>
      </c>
      <c r="U9" s="11">
        <f t="shared" si="7"/>
        <v>2.055555556</v>
      </c>
      <c r="V9" s="10">
        <f t="shared" si="8"/>
        <v>27674</v>
      </c>
      <c r="W9" s="10">
        <f t="shared" si="9"/>
        <v>18258</v>
      </c>
      <c r="X9" s="11">
        <f t="shared" si="10"/>
        <v>1.515719137</v>
      </c>
      <c r="Y9" s="10">
        <f t="shared" ref="Y9:Z9" si="19">S9+V9</f>
        <v>27711</v>
      </c>
      <c r="Z9" s="12">
        <f t="shared" si="19"/>
        <v>18276</v>
      </c>
      <c r="AA9" s="13">
        <f t="shared" si="12"/>
        <v>1.516250821</v>
      </c>
      <c r="AB9" s="14">
        <f t="shared" si="13"/>
        <v>63.74447921</v>
      </c>
      <c r="AC9" s="14"/>
      <c r="AD9" s="14"/>
      <c r="AE9" s="14"/>
    </row>
    <row r="10">
      <c r="A10" s="9" t="s">
        <v>28</v>
      </c>
      <c r="B10" s="9" t="s">
        <v>29</v>
      </c>
      <c r="C10" s="9" t="s">
        <v>30</v>
      </c>
      <c r="D10" s="9" t="s">
        <v>29</v>
      </c>
      <c r="E10" s="10">
        <v>1054.0</v>
      </c>
      <c r="F10" s="10">
        <v>1891.0</v>
      </c>
      <c r="G10" s="10">
        <v>960.0</v>
      </c>
      <c r="H10" s="10">
        <v>768.0</v>
      </c>
      <c r="I10" s="10">
        <v>753.0</v>
      </c>
      <c r="J10" s="10">
        <v>0.0</v>
      </c>
      <c r="K10" s="10">
        <v>2420.0</v>
      </c>
      <c r="L10" s="10">
        <v>0.0</v>
      </c>
      <c r="M10" s="10">
        <v>1536.0</v>
      </c>
      <c r="N10" s="10">
        <v>0.0</v>
      </c>
      <c r="O10" s="10">
        <v>1486.0</v>
      </c>
      <c r="P10" s="10">
        <f t="shared" si="2"/>
        <v>1054</v>
      </c>
      <c r="Q10" s="10">
        <f t="shared" si="3"/>
        <v>975</v>
      </c>
      <c r="R10" s="11">
        <f t="shared" si="4"/>
        <v>92.50474383</v>
      </c>
      <c r="S10" s="11">
        <f t="shared" si="5"/>
        <v>0</v>
      </c>
      <c r="T10" s="11">
        <f t="shared" si="6"/>
        <v>0</v>
      </c>
      <c r="U10" s="11" t="str">
        <f t="shared" si="7"/>
        <v>#DIV/0!</v>
      </c>
      <c r="V10" s="10">
        <f t="shared" si="8"/>
        <v>2470</v>
      </c>
      <c r="W10" s="10">
        <f t="shared" si="9"/>
        <v>1536</v>
      </c>
      <c r="X10" s="11">
        <f t="shared" si="10"/>
        <v>1.608072917</v>
      </c>
      <c r="Y10" s="10">
        <f t="shared" ref="Y10:Z10" si="20">S10+V10</f>
        <v>2470</v>
      </c>
      <c r="Z10" s="12">
        <f t="shared" si="20"/>
        <v>1536</v>
      </c>
      <c r="AA10" s="13">
        <f t="shared" si="12"/>
        <v>1.608072917</v>
      </c>
      <c r="AB10" s="14">
        <f t="shared" si="13"/>
        <v>130.6187203</v>
      </c>
      <c r="AC10" s="14"/>
      <c r="AD10" s="14"/>
      <c r="AE10" s="14"/>
    </row>
    <row r="11">
      <c r="A11" s="9" t="s">
        <v>28</v>
      </c>
      <c r="B11" s="9" t="s">
        <v>31</v>
      </c>
      <c r="C11" s="9" t="s">
        <v>30</v>
      </c>
      <c r="D11" s="9" t="s">
        <v>29</v>
      </c>
      <c r="E11" s="10">
        <v>2544.0</v>
      </c>
      <c r="F11" s="10">
        <v>5952.0</v>
      </c>
      <c r="G11" s="10">
        <v>1235.0</v>
      </c>
      <c r="H11" s="10">
        <v>1216.0</v>
      </c>
      <c r="I11" s="10">
        <v>1235.0</v>
      </c>
      <c r="J11" s="10">
        <v>16.0</v>
      </c>
      <c r="K11" s="10">
        <v>3003.0</v>
      </c>
      <c r="L11" s="10">
        <v>20.0</v>
      </c>
      <c r="M11" s="10">
        <v>2932.0</v>
      </c>
      <c r="N11" s="10">
        <v>16.0</v>
      </c>
      <c r="O11" s="10">
        <v>3003.0</v>
      </c>
      <c r="P11" s="10">
        <f t="shared" si="2"/>
        <v>2544</v>
      </c>
      <c r="Q11" s="10">
        <f t="shared" si="3"/>
        <v>1216</v>
      </c>
      <c r="R11" s="11">
        <f t="shared" si="4"/>
        <v>47.79874214</v>
      </c>
      <c r="S11" s="11">
        <f t="shared" si="5"/>
        <v>20</v>
      </c>
      <c r="T11" s="11">
        <f t="shared" si="6"/>
        <v>20</v>
      </c>
      <c r="U11" s="11">
        <f t="shared" si="7"/>
        <v>1</v>
      </c>
      <c r="V11" s="10">
        <f t="shared" si="8"/>
        <v>2932</v>
      </c>
      <c r="W11" s="10">
        <f t="shared" si="9"/>
        <v>2932</v>
      </c>
      <c r="X11" s="11">
        <f t="shared" si="10"/>
        <v>1</v>
      </c>
      <c r="Y11" s="10">
        <f t="shared" ref="Y11:Z11" si="21">S11+V11</f>
        <v>2952</v>
      </c>
      <c r="Z11" s="12">
        <f t="shared" si="21"/>
        <v>2952</v>
      </c>
      <c r="AA11" s="13">
        <f t="shared" si="12"/>
        <v>1</v>
      </c>
      <c r="AB11" s="14">
        <f t="shared" si="13"/>
        <v>49.59677419</v>
      </c>
      <c r="AC11" s="14"/>
      <c r="AD11" s="14"/>
      <c r="AE11" s="14"/>
    </row>
    <row r="12">
      <c r="A12" s="9" t="s">
        <v>28</v>
      </c>
      <c r="B12" s="9" t="s">
        <v>31</v>
      </c>
      <c r="C12" s="9" t="s">
        <v>30</v>
      </c>
      <c r="D12" s="9" t="s">
        <v>29</v>
      </c>
      <c r="E12" s="10">
        <v>4340.0</v>
      </c>
      <c r="F12" s="10">
        <v>8680.0</v>
      </c>
      <c r="G12" s="10">
        <v>2326.0</v>
      </c>
      <c r="H12" s="10">
        <v>1324.0</v>
      </c>
      <c r="I12" s="10">
        <v>1405.0</v>
      </c>
      <c r="J12" s="10">
        <v>0.0</v>
      </c>
      <c r="K12" s="10">
        <v>4652.0</v>
      </c>
      <c r="L12" s="10">
        <v>0.0</v>
      </c>
      <c r="M12" s="10">
        <v>2648.0</v>
      </c>
      <c r="N12" s="10">
        <v>0.0</v>
      </c>
      <c r="O12" s="10">
        <v>2810.0</v>
      </c>
      <c r="P12" s="10">
        <f t="shared" si="2"/>
        <v>4340</v>
      </c>
      <c r="Q12" s="10">
        <f t="shared" si="3"/>
        <v>2245</v>
      </c>
      <c r="R12" s="11">
        <f t="shared" si="4"/>
        <v>51.7281106</v>
      </c>
      <c r="S12" s="11">
        <f t="shared" si="5"/>
        <v>0</v>
      </c>
      <c r="T12" s="11">
        <f t="shared" si="6"/>
        <v>0</v>
      </c>
      <c r="U12" s="11" t="str">
        <f t="shared" si="7"/>
        <v>#DIV/0!</v>
      </c>
      <c r="V12" s="10">
        <f t="shared" si="8"/>
        <v>4490</v>
      </c>
      <c r="W12" s="10">
        <f t="shared" si="9"/>
        <v>2648</v>
      </c>
      <c r="X12" s="11">
        <f t="shared" si="10"/>
        <v>1.695619335</v>
      </c>
      <c r="Y12" s="10">
        <f t="shared" ref="Y12:Z12" si="22">S12+V12</f>
        <v>4490</v>
      </c>
      <c r="Z12" s="12">
        <f t="shared" si="22"/>
        <v>2648</v>
      </c>
      <c r="AA12" s="13">
        <f t="shared" si="12"/>
        <v>1.695619335</v>
      </c>
      <c r="AB12" s="14">
        <f t="shared" si="13"/>
        <v>51.7281106</v>
      </c>
      <c r="AC12" s="14"/>
      <c r="AD12" s="14"/>
      <c r="AE12" s="14"/>
    </row>
    <row r="13">
      <c r="A13" s="9" t="s">
        <v>28</v>
      </c>
      <c r="B13" s="9" t="s">
        <v>31</v>
      </c>
      <c r="C13" s="9" t="s">
        <v>30</v>
      </c>
      <c r="D13" s="9" t="s">
        <v>29</v>
      </c>
      <c r="E13" s="10">
        <v>682.0</v>
      </c>
      <c r="F13" s="10">
        <v>899.0</v>
      </c>
      <c r="G13" s="10">
        <v>268.0</v>
      </c>
      <c r="H13" s="10">
        <v>265.0</v>
      </c>
      <c r="I13" s="10">
        <v>265.0</v>
      </c>
      <c r="J13" s="10">
        <v>0.0</v>
      </c>
      <c r="K13" s="10">
        <v>428.0</v>
      </c>
      <c r="L13" s="10">
        <v>0.0</v>
      </c>
      <c r="M13" s="10">
        <v>428.0</v>
      </c>
      <c r="N13" s="10">
        <v>0.0</v>
      </c>
      <c r="O13" s="10">
        <v>428.0</v>
      </c>
      <c r="P13" s="10">
        <f t="shared" si="2"/>
        <v>682</v>
      </c>
      <c r="Q13" s="10">
        <f t="shared" si="3"/>
        <v>268</v>
      </c>
      <c r="R13" s="11">
        <f t="shared" si="4"/>
        <v>39.29618768</v>
      </c>
      <c r="S13" s="11">
        <f t="shared" si="5"/>
        <v>0</v>
      </c>
      <c r="T13" s="11">
        <f t="shared" si="6"/>
        <v>0</v>
      </c>
      <c r="U13" s="11" t="str">
        <f t="shared" si="7"/>
        <v>#DIV/0!</v>
      </c>
      <c r="V13" s="10">
        <f t="shared" si="8"/>
        <v>428</v>
      </c>
      <c r="W13" s="10">
        <f t="shared" si="9"/>
        <v>428</v>
      </c>
      <c r="X13" s="11">
        <f t="shared" si="10"/>
        <v>1</v>
      </c>
      <c r="Y13" s="10">
        <f t="shared" ref="Y13:Z13" si="23">S13+V13</f>
        <v>428</v>
      </c>
      <c r="Z13" s="12">
        <f t="shared" si="23"/>
        <v>428</v>
      </c>
      <c r="AA13" s="13">
        <f t="shared" si="12"/>
        <v>1</v>
      </c>
      <c r="AB13" s="14">
        <f t="shared" si="13"/>
        <v>47.60845384</v>
      </c>
      <c r="AC13" s="14"/>
      <c r="AD13" s="14"/>
      <c r="AE13" s="14"/>
    </row>
    <row r="14">
      <c r="A14" s="9" t="s">
        <v>28</v>
      </c>
      <c r="B14" s="9" t="s">
        <v>31</v>
      </c>
      <c r="C14" s="9" t="s">
        <v>30</v>
      </c>
      <c r="D14" s="9" t="s">
        <v>29</v>
      </c>
      <c r="E14" s="10">
        <v>1922.0</v>
      </c>
      <c r="F14" s="10">
        <v>3844.0</v>
      </c>
      <c r="G14" s="10">
        <v>1156.0</v>
      </c>
      <c r="H14" s="10">
        <v>676.0</v>
      </c>
      <c r="I14" s="10">
        <v>729.0</v>
      </c>
      <c r="J14" s="10">
        <v>0.0</v>
      </c>
      <c r="K14" s="10">
        <v>2312.0</v>
      </c>
      <c r="L14" s="10">
        <v>0.0</v>
      </c>
      <c r="M14" s="10">
        <v>1352.0</v>
      </c>
      <c r="N14" s="10">
        <v>0.0</v>
      </c>
      <c r="O14" s="10">
        <v>1458.0</v>
      </c>
      <c r="P14" s="10">
        <f t="shared" si="2"/>
        <v>1922</v>
      </c>
      <c r="Q14" s="10">
        <f t="shared" si="3"/>
        <v>1103</v>
      </c>
      <c r="R14" s="11">
        <f t="shared" si="4"/>
        <v>57.38813736</v>
      </c>
      <c r="S14" s="11">
        <f t="shared" si="5"/>
        <v>0</v>
      </c>
      <c r="T14" s="11">
        <f t="shared" si="6"/>
        <v>0</v>
      </c>
      <c r="U14" s="11" t="str">
        <f t="shared" si="7"/>
        <v>#DIV/0!</v>
      </c>
      <c r="V14" s="10">
        <f t="shared" si="8"/>
        <v>2206</v>
      </c>
      <c r="W14" s="10">
        <f t="shared" si="9"/>
        <v>1352</v>
      </c>
      <c r="X14" s="11">
        <f t="shared" si="10"/>
        <v>1.631656805</v>
      </c>
      <c r="Y14" s="10">
        <f t="shared" ref="Y14:Z14" si="24">S14+V14</f>
        <v>2206</v>
      </c>
      <c r="Z14" s="12">
        <f t="shared" si="24"/>
        <v>1352</v>
      </c>
      <c r="AA14" s="13">
        <f t="shared" si="12"/>
        <v>1.631656805</v>
      </c>
      <c r="AB14" s="14">
        <f t="shared" si="13"/>
        <v>57.38813736</v>
      </c>
      <c r="AC14" s="14"/>
      <c r="AD14" s="14"/>
      <c r="AE14" s="14"/>
    </row>
    <row r="15">
      <c r="A15" s="9" t="s">
        <v>28</v>
      </c>
      <c r="B15" s="9" t="s">
        <v>31</v>
      </c>
      <c r="C15" s="9" t="s">
        <v>30</v>
      </c>
      <c r="D15" s="9" t="s">
        <v>29</v>
      </c>
      <c r="E15" s="10">
        <v>2666.0</v>
      </c>
      <c r="F15" s="10">
        <v>3782.0</v>
      </c>
      <c r="G15" s="10">
        <v>1019.0</v>
      </c>
      <c r="H15" s="10">
        <v>953.0</v>
      </c>
      <c r="I15" s="10">
        <v>944.0</v>
      </c>
      <c r="J15" s="10">
        <v>0.0</v>
      </c>
      <c r="K15" s="10">
        <v>3771.0</v>
      </c>
      <c r="L15" s="10">
        <v>0.0</v>
      </c>
      <c r="M15" s="10">
        <v>1894.0</v>
      </c>
      <c r="N15" s="10">
        <v>0.0</v>
      </c>
      <c r="O15" s="10">
        <v>1816.0</v>
      </c>
      <c r="P15" s="10">
        <f t="shared" si="2"/>
        <v>2666</v>
      </c>
      <c r="Q15" s="10">
        <f t="shared" si="3"/>
        <v>1028</v>
      </c>
      <c r="R15" s="11">
        <f t="shared" si="4"/>
        <v>38.55963991</v>
      </c>
      <c r="S15" s="11">
        <f t="shared" si="5"/>
        <v>0</v>
      </c>
      <c r="T15" s="11">
        <f t="shared" si="6"/>
        <v>0</v>
      </c>
      <c r="U15" s="11" t="str">
        <f t="shared" si="7"/>
        <v>#DIV/0!</v>
      </c>
      <c r="V15" s="10">
        <f t="shared" si="8"/>
        <v>3849</v>
      </c>
      <c r="W15" s="10">
        <f t="shared" si="9"/>
        <v>1894</v>
      </c>
      <c r="X15" s="11">
        <f t="shared" si="10"/>
        <v>2.032206969</v>
      </c>
      <c r="Y15" s="10">
        <f t="shared" ref="Y15:Z15" si="25">S15+V15</f>
        <v>3849</v>
      </c>
      <c r="Z15" s="12">
        <f t="shared" si="25"/>
        <v>1894</v>
      </c>
      <c r="AA15" s="13">
        <f t="shared" si="12"/>
        <v>2.032206969</v>
      </c>
      <c r="AB15" s="14">
        <f t="shared" si="13"/>
        <v>101.7715494</v>
      </c>
      <c r="AC15" s="14"/>
      <c r="AD15" s="14"/>
      <c r="AE15" s="14"/>
    </row>
    <row r="16">
      <c r="A16" s="9" t="s">
        <v>28</v>
      </c>
      <c r="B16" s="9" t="s">
        <v>31</v>
      </c>
      <c r="C16" s="9" t="s">
        <v>30</v>
      </c>
      <c r="D16" s="9" t="s">
        <v>29</v>
      </c>
      <c r="E16" s="10">
        <v>5208.0</v>
      </c>
      <c r="F16" s="10">
        <v>7316.0</v>
      </c>
      <c r="G16" s="10">
        <v>3507.0</v>
      </c>
      <c r="H16" s="10">
        <v>2602.0</v>
      </c>
      <c r="I16" s="10">
        <v>2731.0</v>
      </c>
      <c r="J16" s="10">
        <v>0.0</v>
      </c>
      <c r="K16" s="10">
        <v>6690.0</v>
      </c>
      <c r="L16" s="10">
        <v>0.0</v>
      </c>
      <c r="M16" s="10">
        <v>4874.0</v>
      </c>
      <c r="N16" s="10">
        <v>0.0</v>
      </c>
      <c r="O16" s="10">
        <v>5096.0</v>
      </c>
      <c r="P16" s="10">
        <f t="shared" si="2"/>
        <v>5208</v>
      </c>
      <c r="Q16" s="10">
        <f t="shared" si="3"/>
        <v>3378</v>
      </c>
      <c r="R16" s="11">
        <f t="shared" si="4"/>
        <v>64.86175115</v>
      </c>
      <c r="S16" s="11">
        <f t="shared" si="5"/>
        <v>0</v>
      </c>
      <c r="T16" s="11">
        <f t="shared" si="6"/>
        <v>0</v>
      </c>
      <c r="U16" s="11" t="str">
        <f t="shared" si="7"/>
        <v>#DIV/0!</v>
      </c>
      <c r="V16" s="10">
        <f t="shared" si="8"/>
        <v>6468</v>
      </c>
      <c r="W16" s="10">
        <f t="shared" si="9"/>
        <v>4874</v>
      </c>
      <c r="X16" s="11">
        <f t="shared" si="10"/>
        <v>1.327041444</v>
      </c>
      <c r="Y16" s="10">
        <f t="shared" ref="Y16:Z16" si="26">S16+V16</f>
        <v>6468</v>
      </c>
      <c r="Z16" s="12">
        <f t="shared" si="26"/>
        <v>4874</v>
      </c>
      <c r="AA16" s="13">
        <f t="shared" si="12"/>
        <v>1.327041444</v>
      </c>
      <c r="AB16" s="14">
        <f t="shared" si="13"/>
        <v>88.40896665</v>
      </c>
      <c r="AC16" s="14"/>
      <c r="AD16" s="14"/>
      <c r="AE16" s="14"/>
    </row>
    <row r="17">
      <c r="A17" s="9" t="s">
        <v>28</v>
      </c>
      <c r="B17" s="9" t="s">
        <v>31</v>
      </c>
      <c r="C17" s="9" t="s">
        <v>30</v>
      </c>
      <c r="D17" s="9" t="s">
        <v>29</v>
      </c>
      <c r="E17" s="10">
        <v>40300.0</v>
      </c>
      <c r="F17" s="10">
        <v>59334.0</v>
      </c>
      <c r="G17" s="10">
        <v>23811.0</v>
      </c>
      <c r="H17" s="10">
        <v>18547.0</v>
      </c>
      <c r="I17" s="10">
        <v>19073.0</v>
      </c>
      <c r="J17" s="10">
        <v>121.0</v>
      </c>
      <c r="K17" s="10">
        <v>52691.0</v>
      </c>
      <c r="L17" s="10">
        <v>67.0</v>
      </c>
      <c r="M17" s="10">
        <v>33321.0</v>
      </c>
      <c r="N17" s="10">
        <v>66.0</v>
      </c>
      <c r="O17" s="10">
        <v>33682.0</v>
      </c>
      <c r="P17" s="10">
        <f t="shared" si="2"/>
        <v>40300</v>
      </c>
      <c r="Q17" s="10">
        <f t="shared" si="3"/>
        <v>23285</v>
      </c>
      <c r="R17" s="11">
        <f t="shared" si="4"/>
        <v>57.77915633</v>
      </c>
      <c r="S17" s="11">
        <f t="shared" si="5"/>
        <v>122</v>
      </c>
      <c r="T17" s="11">
        <f t="shared" si="6"/>
        <v>67</v>
      </c>
      <c r="U17" s="11">
        <f t="shared" si="7"/>
        <v>1.820895522</v>
      </c>
      <c r="V17" s="10">
        <f t="shared" si="8"/>
        <v>52330</v>
      </c>
      <c r="W17" s="10">
        <f t="shared" si="9"/>
        <v>33321</v>
      </c>
      <c r="X17" s="11">
        <f t="shared" si="10"/>
        <v>1.570481078</v>
      </c>
      <c r="Y17" s="10">
        <f t="shared" ref="Y17:Z17" si="27">S17+V17</f>
        <v>52452</v>
      </c>
      <c r="Z17" s="12">
        <f t="shared" si="27"/>
        <v>33388</v>
      </c>
      <c r="AA17" s="13">
        <f t="shared" si="12"/>
        <v>1.570983587</v>
      </c>
      <c r="AB17" s="14">
        <f t="shared" si="13"/>
        <v>88.40125392</v>
      </c>
      <c r="AC17" s="14"/>
      <c r="AD17" s="14"/>
      <c r="AE17" s="14"/>
    </row>
    <row r="18">
      <c r="A18" s="9" t="s">
        <v>28</v>
      </c>
      <c r="B18" s="9" t="s">
        <v>31</v>
      </c>
      <c r="C18" s="9" t="s">
        <v>30</v>
      </c>
      <c r="D18" s="9" t="s">
        <v>29</v>
      </c>
      <c r="E18" s="10">
        <v>32581.0</v>
      </c>
      <c r="F18" s="10">
        <v>46624.0</v>
      </c>
      <c r="G18" s="10">
        <v>23641.0</v>
      </c>
      <c r="H18" s="10">
        <v>14123.0</v>
      </c>
      <c r="I18" s="10">
        <v>14426.0</v>
      </c>
      <c r="J18" s="10">
        <v>233.0</v>
      </c>
      <c r="K18" s="10">
        <v>43483.0</v>
      </c>
      <c r="L18" s="10">
        <v>133.0</v>
      </c>
      <c r="M18" s="10">
        <v>24229.0</v>
      </c>
      <c r="N18" s="10">
        <v>138.0</v>
      </c>
      <c r="O18" s="10">
        <v>24795.0</v>
      </c>
      <c r="P18" s="10">
        <f t="shared" si="2"/>
        <v>32581</v>
      </c>
      <c r="Q18" s="10">
        <f t="shared" si="3"/>
        <v>23338</v>
      </c>
      <c r="R18" s="11">
        <f t="shared" si="4"/>
        <v>71.63070501</v>
      </c>
      <c r="S18" s="11">
        <f t="shared" si="5"/>
        <v>228</v>
      </c>
      <c r="T18" s="11">
        <f t="shared" si="6"/>
        <v>133</v>
      </c>
      <c r="U18" s="11">
        <f t="shared" si="7"/>
        <v>1.714285714</v>
      </c>
      <c r="V18" s="10">
        <f t="shared" si="8"/>
        <v>42917</v>
      </c>
      <c r="W18" s="10">
        <f t="shared" si="9"/>
        <v>24229</v>
      </c>
      <c r="X18" s="11">
        <f t="shared" si="10"/>
        <v>1.771307111</v>
      </c>
      <c r="Y18" s="10">
        <f t="shared" ref="Y18:Z18" si="28">S18+V18</f>
        <v>43145</v>
      </c>
      <c r="Z18" s="12">
        <f t="shared" si="28"/>
        <v>24362</v>
      </c>
      <c r="AA18" s="13">
        <f t="shared" si="12"/>
        <v>1.770995813</v>
      </c>
      <c r="AB18" s="14">
        <f t="shared" si="13"/>
        <v>92.53817776</v>
      </c>
      <c r="AC18" s="14"/>
      <c r="AD18" s="14"/>
      <c r="AE18" s="14"/>
    </row>
    <row r="19">
      <c r="A19" s="9" t="s">
        <v>28</v>
      </c>
      <c r="B19" s="9" t="s">
        <v>31</v>
      </c>
      <c r="C19" s="9" t="s">
        <v>30</v>
      </c>
      <c r="D19" s="9" t="s">
        <v>29</v>
      </c>
      <c r="E19" s="10">
        <v>1054.0</v>
      </c>
      <c r="F19" s="10">
        <v>1891.0</v>
      </c>
      <c r="G19" s="10">
        <v>542.0</v>
      </c>
      <c r="H19" s="10">
        <v>538.0</v>
      </c>
      <c r="I19" s="10">
        <v>542.0</v>
      </c>
      <c r="J19" s="10">
        <v>0.0</v>
      </c>
      <c r="K19" s="10">
        <v>1084.0</v>
      </c>
      <c r="L19" s="10">
        <v>0.0</v>
      </c>
      <c r="M19" s="10">
        <v>1076.0</v>
      </c>
      <c r="N19" s="10">
        <v>0.0</v>
      </c>
      <c r="O19" s="10">
        <v>1084.0</v>
      </c>
      <c r="P19" s="10">
        <f t="shared" si="2"/>
        <v>1054</v>
      </c>
      <c r="Q19" s="10">
        <f t="shared" si="3"/>
        <v>538</v>
      </c>
      <c r="R19" s="11">
        <f t="shared" si="4"/>
        <v>51.04364326</v>
      </c>
      <c r="S19" s="11">
        <f t="shared" si="5"/>
        <v>0</v>
      </c>
      <c r="T19" s="11">
        <f t="shared" si="6"/>
        <v>0</v>
      </c>
      <c r="U19" s="11" t="str">
        <f t="shared" si="7"/>
        <v>#DIV/0!</v>
      </c>
      <c r="V19" s="10">
        <f t="shared" si="8"/>
        <v>1076</v>
      </c>
      <c r="W19" s="10">
        <f t="shared" si="9"/>
        <v>1076</v>
      </c>
      <c r="X19" s="11">
        <f t="shared" si="10"/>
        <v>1</v>
      </c>
      <c r="Y19" s="10">
        <f t="shared" ref="Y19:Z19" si="29">S19+V19</f>
        <v>1076</v>
      </c>
      <c r="Z19" s="12">
        <f t="shared" si="29"/>
        <v>1076</v>
      </c>
      <c r="AA19" s="13">
        <f t="shared" si="12"/>
        <v>1</v>
      </c>
      <c r="AB19" s="14">
        <f t="shared" si="13"/>
        <v>56.90111052</v>
      </c>
      <c r="AC19" s="14"/>
      <c r="AD19" s="14"/>
      <c r="AE19" s="14"/>
    </row>
    <row r="20">
      <c r="A20" s="9" t="s">
        <v>28</v>
      </c>
      <c r="B20" s="9" t="s">
        <v>32</v>
      </c>
      <c r="C20" s="9" t="s">
        <v>30</v>
      </c>
      <c r="D20" s="9" t="s">
        <v>29</v>
      </c>
      <c r="E20" s="10">
        <v>2460.0</v>
      </c>
      <c r="F20" s="10">
        <v>5760.0</v>
      </c>
      <c r="G20" s="10">
        <v>1426.0</v>
      </c>
      <c r="H20" s="10">
        <v>1432.0</v>
      </c>
      <c r="I20" s="10">
        <v>1426.0</v>
      </c>
      <c r="J20" s="10">
        <v>0.0</v>
      </c>
      <c r="K20" s="10">
        <v>3319.0</v>
      </c>
      <c r="L20" s="10">
        <v>0.0</v>
      </c>
      <c r="M20" s="10">
        <v>3333.0</v>
      </c>
      <c r="N20" s="10">
        <v>0.0</v>
      </c>
      <c r="O20" s="10">
        <v>3319.0</v>
      </c>
      <c r="P20" s="10">
        <f t="shared" si="2"/>
        <v>2460</v>
      </c>
      <c r="Q20" s="10">
        <f t="shared" si="3"/>
        <v>1432</v>
      </c>
      <c r="R20" s="11">
        <f t="shared" si="4"/>
        <v>58.21138211</v>
      </c>
      <c r="S20" s="11">
        <f t="shared" si="5"/>
        <v>0</v>
      </c>
      <c r="T20" s="11">
        <f t="shared" si="6"/>
        <v>0</v>
      </c>
      <c r="U20" s="11" t="str">
        <f t="shared" si="7"/>
        <v>#DIV/0!</v>
      </c>
      <c r="V20" s="10">
        <f t="shared" si="8"/>
        <v>3333</v>
      </c>
      <c r="W20" s="10">
        <f t="shared" si="9"/>
        <v>3333</v>
      </c>
      <c r="X20" s="11">
        <f t="shared" si="10"/>
        <v>1</v>
      </c>
      <c r="Y20" s="10">
        <f t="shared" ref="Y20:Z20" si="30">S20+V20</f>
        <v>3333</v>
      </c>
      <c r="Z20" s="12">
        <f t="shared" si="30"/>
        <v>3333</v>
      </c>
      <c r="AA20" s="13">
        <f t="shared" si="12"/>
        <v>1</v>
      </c>
      <c r="AB20" s="14">
        <f t="shared" si="13"/>
        <v>57.86458333</v>
      </c>
      <c r="AC20" s="14"/>
      <c r="AD20" s="14"/>
      <c r="AE20" s="14"/>
    </row>
    <row r="21">
      <c r="A21" s="9" t="s">
        <v>28</v>
      </c>
      <c r="B21" s="9" t="s">
        <v>32</v>
      </c>
      <c r="C21" s="9" t="s">
        <v>30</v>
      </c>
      <c r="D21" s="9" t="s">
        <v>29</v>
      </c>
      <c r="E21" s="10">
        <v>3000.0</v>
      </c>
      <c r="F21" s="10">
        <v>6000.0</v>
      </c>
      <c r="G21" s="10">
        <v>1794.0</v>
      </c>
      <c r="H21" s="10">
        <v>1029.0</v>
      </c>
      <c r="I21" s="10">
        <v>986.0</v>
      </c>
      <c r="J21" s="10">
        <v>0.0</v>
      </c>
      <c r="K21" s="10">
        <v>3588.0</v>
      </c>
      <c r="L21" s="10">
        <v>0.0</v>
      </c>
      <c r="M21" s="10">
        <v>2058.0</v>
      </c>
      <c r="N21" s="10">
        <v>0.0</v>
      </c>
      <c r="O21" s="10">
        <v>1972.0</v>
      </c>
      <c r="P21" s="10">
        <f t="shared" si="2"/>
        <v>3000</v>
      </c>
      <c r="Q21" s="10">
        <f t="shared" si="3"/>
        <v>1837</v>
      </c>
      <c r="R21" s="11">
        <f t="shared" si="4"/>
        <v>61.23333333</v>
      </c>
      <c r="S21" s="11">
        <f t="shared" si="5"/>
        <v>0</v>
      </c>
      <c r="T21" s="11">
        <f t="shared" si="6"/>
        <v>0</v>
      </c>
      <c r="U21" s="11" t="str">
        <f t="shared" si="7"/>
        <v>#DIV/0!</v>
      </c>
      <c r="V21" s="10">
        <f t="shared" si="8"/>
        <v>3674</v>
      </c>
      <c r="W21" s="10">
        <f t="shared" si="9"/>
        <v>2058</v>
      </c>
      <c r="X21" s="11">
        <f t="shared" si="10"/>
        <v>1.785228377</v>
      </c>
      <c r="Y21" s="10">
        <f t="shared" ref="Y21:Z21" si="31">S21+V21</f>
        <v>3674</v>
      </c>
      <c r="Z21" s="12">
        <f t="shared" si="31"/>
        <v>2058</v>
      </c>
      <c r="AA21" s="13">
        <f t="shared" si="12"/>
        <v>1.785228377</v>
      </c>
      <c r="AB21" s="14">
        <f t="shared" si="13"/>
        <v>61.23333333</v>
      </c>
      <c r="AC21" s="14"/>
      <c r="AD21" s="14"/>
      <c r="AE21" s="14"/>
    </row>
    <row r="22">
      <c r="A22" s="9" t="s">
        <v>28</v>
      </c>
      <c r="B22" s="9" t="s">
        <v>32</v>
      </c>
      <c r="C22" s="9" t="s">
        <v>30</v>
      </c>
      <c r="D22" s="9" t="s">
        <v>29</v>
      </c>
      <c r="E22" s="10">
        <v>660.0</v>
      </c>
      <c r="F22" s="10">
        <v>870.0</v>
      </c>
      <c r="G22" s="10">
        <v>137.0</v>
      </c>
      <c r="H22" s="10">
        <v>105.0</v>
      </c>
      <c r="I22" s="10">
        <v>103.0</v>
      </c>
      <c r="J22" s="10">
        <v>0.0</v>
      </c>
      <c r="K22" s="10">
        <v>346.0</v>
      </c>
      <c r="L22" s="10">
        <v>0.0</v>
      </c>
      <c r="M22" s="10">
        <v>186.0</v>
      </c>
      <c r="N22" s="10">
        <v>0.0</v>
      </c>
      <c r="O22" s="10">
        <v>182.0</v>
      </c>
      <c r="P22" s="10">
        <f t="shared" si="2"/>
        <v>660</v>
      </c>
      <c r="Q22" s="10">
        <f t="shared" si="3"/>
        <v>139</v>
      </c>
      <c r="R22" s="11">
        <f t="shared" si="4"/>
        <v>21.06060606</v>
      </c>
      <c r="S22" s="11">
        <f t="shared" si="5"/>
        <v>0</v>
      </c>
      <c r="T22" s="11">
        <f t="shared" si="6"/>
        <v>0</v>
      </c>
      <c r="U22" s="11" t="str">
        <f t="shared" si="7"/>
        <v>#DIV/0!</v>
      </c>
      <c r="V22" s="10">
        <f t="shared" si="8"/>
        <v>350</v>
      </c>
      <c r="W22" s="10">
        <f t="shared" si="9"/>
        <v>186</v>
      </c>
      <c r="X22" s="11">
        <f t="shared" si="10"/>
        <v>1.88172043</v>
      </c>
      <c r="Y22" s="10">
        <f t="shared" ref="Y22:Z22" si="32">S22+V22</f>
        <v>350</v>
      </c>
      <c r="Z22" s="12">
        <f t="shared" si="32"/>
        <v>186</v>
      </c>
      <c r="AA22" s="13">
        <f t="shared" si="12"/>
        <v>1.88172043</v>
      </c>
      <c r="AB22" s="14">
        <f t="shared" si="13"/>
        <v>40.22988506</v>
      </c>
      <c r="AC22" s="14"/>
      <c r="AD22" s="14"/>
      <c r="AE22" s="14"/>
    </row>
    <row r="23">
      <c r="A23" s="9" t="s">
        <v>28</v>
      </c>
      <c r="B23" s="9" t="s">
        <v>32</v>
      </c>
      <c r="C23" s="9" t="s">
        <v>30</v>
      </c>
      <c r="D23" s="9" t="s">
        <v>29</v>
      </c>
      <c r="E23" s="10">
        <v>1860.0</v>
      </c>
      <c r="F23" s="10">
        <v>3720.0</v>
      </c>
      <c r="G23" s="10">
        <v>1099.0</v>
      </c>
      <c r="H23" s="10">
        <v>727.0</v>
      </c>
      <c r="I23" s="10">
        <v>735.0</v>
      </c>
      <c r="J23" s="10">
        <v>0.0</v>
      </c>
      <c r="K23" s="10">
        <v>2198.0</v>
      </c>
      <c r="L23" s="10">
        <v>0.0</v>
      </c>
      <c r="M23" s="10">
        <v>1454.0</v>
      </c>
      <c r="N23" s="10">
        <v>0.0</v>
      </c>
      <c r="O23" s="10">
        <v>1470.0</v>
      </c>
      <c r="P23" s="10">
        <f t="shared" si="2"/>
        <v>1860</v>
      </c>
      <c r="Q23" s="10">
        <f t="shared" si="3"/>
        <v>1091</v>
      </c>
      <c r="R23" s="11">
        <f t="shared" si="4"/>
        <v>58.65591398</v>
      </c>
      <c r="S23" s="11">
        <f t="shared" si="5"/>
        <v>0</v>
      </c>
      <c r="T23" s="11">
        <f t="shared" si="6"/>
        <v>0</v>
      </c>
      <c r="U23" s="11" t="str">
        <f t="shared" si="7"/>
        <v>#DIV/0!</v>
      </c>
      <c r="V23" s="10">
        <f t="shared" si="8"/>
        <v>2182</v>
      </c>
      <c r="W23" s="10">
        <f t="shared" si="9"/>
        <v>1454</v>
      </c>
      <c r="X23" s="11">
        <f t="shared" si="10"/>
        <v>1.500687758</v>
      </c>
      <c r="Y23" s="10">
        <f t="shared" ref="Y23:Z23" si="33">S23+V23</f>
        <v>2182</v>
      </c>
      <c r="Z23" s="12">
        <f t="shared" si="33"/>
        <v>1454</v>
      </c>
      <c r="AA23" s="13">
        <f t="shared" si="12"/>
        <v>1.500687758</v>
      </c>
      <c r="AB23" s="14">
        <f t="shared" si="13"/>
        <v>58.65591398</v>
      </c>
      <c r="AC23" s="14"/>
      <c r="AD23" s="14"/>
      <c r="AE23" s="14"/>
    </row>
    <row r="24">
      <c r="A24" s="9" t="s">
        <v>28</v>
      </c>
      <c r="B24" s="9" t="s">
        <v>32</v>
      </c>
      <c r="C24" s="9" t="s">
        <v>30</v>
      </c>
      <c r="D24" s="9" t="s">
        <v>29</v>
      </c>
      <c r="E24" s="10">
        <v>2580.0</v>
      </c>
      <c r="F24" s="10">
        <v>3660.0</v>
      </c>
      <c r="G24" s="10">
        <v>906.0</v>
      </c>
      <c r="H24" s="10">
        <v>924.0</v>
      </c>
      <c r="I24" s="10">
        <v>906.0</v>
      </c>
      <c r="J24" s="10">
        <v>0.0</v>
      </c>
      <c r="K24" s="10">
        <v>1928.0</v>
      </c>
      <c r="L24" s="10">
        <v>0.0</v>
      </c>
      <c r="M24" s="10">
        <v>1852.0</v>
      </c>
      <c r="N24" s="10">
        <v>0.0</v>
      </c>
      <c r="O24" s="10">
        <v>1844.0</v>
      </c>
      <c r="P24" s="10">
        <f t="shared" si="2"/>
        <v>2580</v>
      </c>
      <c r="Q24" s="10">
        <f t="shared" si="3"/>
        <v>924</v>
      </c>
      <c r="R24" s="11">
        <f t="shared" si="4"/>
        <v>35.81395349</v>
      </c>
      <c r="S24" s="11">
        <f t="shared" si="5"/>
        <v>0</v>
      </c>
      <c r="T24" s="11">
        <f t="shared" si="6"/>
        <v>0</v>
      </c>
      <c r="U24" s="11" t="str">
        <f t="shared" si="7"/>
        <v>#DIV/0!</v>
      </c>
      <c r="V24" s="10">
        <f t="shared" si="8"/>
        <v>1936</v>
      </c>
      <c r="W24" s="10">
        <f t="shared" si="9"/>
        <v>1852</v>
      </c>
      <c r="X24" s="11">
        <f t="shared" si="10"/>
        <v>1.045356371</v>
      </c>
      <c r="Y24" s="10">
        <f t="shared" ref="Y24:Z24" si="34">S24+V24</f>
        <v>1936</v>
      </c>
      <c r="Z24" s="12">
        <f t="shared" si="34"/>
        <v>1852</v>
      </c>
      <c r="AA24" s="13">
        <f t="shared" si="12"/>
        <v>1.045356371</v>
      </c>
      <c r="AB24" s="14">
        <f t="shared" si="13"/>
        <v>52.89617486</v>
      </c>
      <c r="AC24" s="14"/>
      <c r="AD24" s="14"/>
      <c r="AE24" s="14"/>
    </row>
    <row r="25">
      <c r="A25" s="9" t="s">
        <v>28</v>
      </c>
      <c r="B25" s="9" t="s">
        <v>32</v>
      </c>
      <c r="C25" s="9" t="s">
        <v>30</v>
      </c>
      <c r="D25" s="9" t="s">
        <v>29</v>
      </c>
      <c r="E25" s="10">
        <v>5040.0</v>
      </c>
      <c r="F25" s="10">
        <v>7080.0</v>
      </c>
      <c r="G25" s="10">
        <v>2579.0</v>
      </c>
      <c r="H25" s="10">
        <v>2486.0</v>
      </c>
      <c r="I25" s="10">
        <v>2484.0</v>
      </c>
      <c r="J25" s="10">
        <v>0.0</v>
      </c>
      <c r="K25" s="10">
        <v>6859.0</v>
      </c>
      <c r="L25" s="10">
        <v>0.0</v>
      </c>
      <c r="M25" s="10">
        <v>4702.0</v>
      </c>
      <c r="N25" s="10">
        <v>0.0</v>
      </c>
      <c r="O25" s="10">
        <v>4596.0</v>
      </c>
      <c r="P25" s="10">
        <f t="shared" si="2"/>
        <v>5040</v>
      </c>
      <c r="Q25" s="10">
        <f t="shared" si="3"/>
        <v>2581</v>
      </c>
      <c r="R25" s="11">
        <f t="shared" si="4"/>
        <v>51.21031746</v>
      </c>
      <c r="S25" s="11">
        <f t="shared" si="5"/>
        <v>0</v>
      </c>
      <c r="T25" s="11">
        <f t="shared" si="6"/>
        <v>0</v>
      </c>
      <c r="U25" s="11" t="str">
        <f t="shared" si="7"/>
        <v>#DIV/0!</v>
      </c>
      <c r="V25" s="10">
        <f t="shared" si="8"/>
        <v>6965</v>
      </c>
      <c r="W25" s="10">
        <f t="shared" si="9"/>
        <v>4702</v>
      </c>
      <c r="X25" s="11">
        <f t="shared" si="10"/>
        <v>1.48128456</v>
      </c>
      <c r="Y25" s="10">
        <f t="shared" ref="Y25:Z25" si="35">S25+V25</f>
        <v>6965</v>
      </c>
      <c r="Z25" s="12">
        <f t="shared" si="35"/>
        <v>4702</v>
      </c>
      <c r="AA25" s="13">
        <f t="shared" si="12"/>
        <v>1.48128456</v>
      </c>
      <c r="AB25" s="14">
        <f t="shared" si="13"/>
        <v>98.37570621</v>
      </c>
      <c r="AC25" s="14"/>
      <c r="AD25" s="14"/>
      <c r="AE25" s="14"/>
    </row>
    <row r="26">
      <c r="A26" s="9" t="s">
        <v>28</v>
      </c>
      <c r="B26" s="9" t="s">
        <v>32</v>
      </c>
      <c r="C26" s="9" t="s">
        <v>30</v>
      </c>
      <c r="D26" s="9" t="s">
        <v>29</v>
      </c>
      <c r="E26" s="10">
        <v>39000.0</v>
      </c>
      <c r="F26" s="10">
        <v>57420.0</v>
      </c>
      <c r="G26" s="10">
        <v>21142.0</v>
      </c>
      <c r="H26" s="10">
        <v>16851.0</v>
      </c>
      <c r="I26" s="10">
        <v>16790.0</v>
      </c>
      <c r="J26" s="10">
        <v>76.0</v>
      </c>
      <c r="K26" s="10">
        <v>46741.0</v>
      </c>
      <c r="L26" s="10">
        <v>29.0</v>
      </c>
      <c r="M26" s="10">
        <v>31291.0</v>
      </c>
      <c r="N26" s="10">
        <v>27.0</v>
      </c>
      <c r="O26" s="10">
        <v>30914.0</v>
      </c>
      <c r="P26" s="10">
        <f t="shared" si="2"/>
        <v>39000</v>
      </c>
      <c r="Q26" s="10">
        <f t="shared" si="3"/>
        <v>21203</v>
      </c>
      <c r="R26" s="11">
        <f t="shared" si="4"/>
        <v>54.36666667</v>
      </c>
      <c r="S26" s="11">
        <f t="shared" si="5"/>
        <v>78</v>
      </c>
      <c r="T26" s="11">
        <f t="shared" si="6"/>
        <v>29</v>
      </c>
      <c r="U26" s="11">
        <f t="shared" si="7"/>
        <v>2.689655172</v>
      </c>
      <c r="V26" s="10">
        <f t="shared" si="8"/>
        <v>47118</v>
      </c>
      <c r="W26" s="10">
        <f t="shared" si="9"/>
        <v>31291</v>
      </c>
      <c r="X26" s="11">
        <f t="shared" si="10"/>
        <v>1.50580039</v>
      </c>
      <c r="Y26" s="10">
        <f t="shared" ref="Y26:Z26" si="36">S26+V26</f>
        <v>47196</v>
      </c>
      <c r="Z26" s="12">
        <f t="shared" si="36"/>
        <v>31320</v>
      </c>
      <c r="AA26" s="13">
        <f t="shared" si="12"/>
        <v>1.506896552</v>
      </c>
      <c r="AB26" s="14">
        <f t="shared" si="13"/>
        <v>82.19435737</v>
      </c>
      <c r="AC26" s="14"/>
      <c r="AD26" s="14"/>
      <c r="AE26" s="14"/>
    </row>
    <row r="27">
      <c r="A27" s="9" t="s">
        <v>28</v>
      </c>
      <c r="B27" s="9" t="s">
        <v>32</v>
      </c>
      <c r="C27" s="9" t="s">
        <v>30</v>
      </c>
      <c r="D27" s="9" t="s">
        <v>29</v>
      </c>
      <c r="E27" s="10">
        <v>31140.0</v>
      </c>
      <c r="F27" s="10">
        <v>44130.0</v>
      </c>
      <c r="G27" s="10">
        <v>19265.0</v>
      </c>
      <c r="H27" s="10">
        <v>13074.0</v>
      </c>
      <c r="I27" s="10">
        <v>12779.0</v>
      </c>
      <c r="J27" s="10">
        <v>482.0</v>
      </c>
      <c r="K27" s="10">
        <v>41115.0</v>
      </c>
      <c r="L27" s="10">
        <v>222.0</v>
      </c>
      <c r="M27" s="10">
        <v>22774.0</v>
      </c>
      <c r="N27" s="10">
        <v>188.0</v>
      </c>
      <c r="O27" s="10">
        <v>21659.0</v>
      </c>
      <c r="P27" s="10">
        <f t="shared" si="2"/>
        <v>31140</v>
      </c>
      <c r="Q27" s="10">
        <f t="shared" si="3"/>
        <v>19560</v>
      </c>
      <c r="R27" s="11">
        <f t="shared" si="4"/>
        <v>62.81310212</v>
      </c>
      <c r="S27" s="11">
        <f t="shared" si="5"/>
        <v>516</v>
      </c>
      <c r="T27" s="11">
        <f t="shared" si="6"/>
        <v>222</v>
      </c>
      <c r="U27" s="11">
        <f t="shared" si="7"/>
        <v>2.324324324</v>
      </c>
      <c r="V27" s="10">
        <f t="shared" si="8"/>
        <v>42230</v>
      </c>
      <c r="W27" s="10">
        <f t="shared" si="9"/>
        <v>22774</v>
      </c>
      <c r="X27" s="11">
        <f t="shared" si="10"/>
        <v>1.854307544</v>
      </c>
      <c r="Y27" s="10">
        <f t="shared" ref="Y27:Z27" si="37">S27+V27</f>
        <v>42746</v>
      </c>
      <c r="Z27" s="12">
        <f t="shared" si="37"/>
        <v>22996</v>
      </c>
      <c r="AA27" s="13">
        <f t="shared" si="12"/>
        <v>1.858845017</v>
      </c>
      <c r="AB27" s="14">
        <f t="shared" si="13"/>
        <v>96.86381147</v>
      </c>
      <c r="AC27" s="14"/>
      <c r="AD27" s="14"/>
      <c r="AE27" s="14"/>
    </row>
    <row r="28">
      <c r="A28" s="9" t="s">
        <v>28</v>
      </c>
      <c r="B28" s="9" t="s">
        <v>32</v>
      </c>
      <c r="C28" s="9" t="s">
        <v>30</v>
      </c>
      <c r="D28" s="9" t="s">
        <v>29</v>
      </c>
      <c r="E28" s="10">
        <v>1200.0</v>
      </c>
      <c r="F28" s="10">
        <v>2130.0</v>
      </c>
      <c r="G28" s="10">
        <v>768.0</v>
      </c>
      <c r="H28" s="10">
        <v>772.0</v>
      </c>
      <c r="I28" s="10">
        <v>768.0</v>
      </c>
      <c r="J28" s="10">
        <v>0.0</v>
      </c>
      <c r="K28" s="10">
        <v>1510.0</v>
      </c>
      <c r="L28" s="10">
        <v>0.0</v>
      </c>
      <c r="M28" s="10">
        <v>1518.0</v>
      </c>
      <c r="N28" s="10">
        <v>0.0</v>
      </c>
      <c r="O28" s="10">
        <v>1510.0</v>
      </c>
      <c r="P28" s="10">
        <f t="shared" si="2"/>
        <v>1200</v>
      </c>
      <c r="Q28" s="10">
        <f t="shared" si="3"/>
        <v>772</v>
      </c>
      <c r="R28" s="11">
        <f t="shared" si="4"/>
        <v>64.33333333</v>
      </c>
      <c r="S28" s="11">
        <f t="shared" si="5"/>
        <v>0</v>
      </c>
      <c r="T28" s="11">
        <f t="shared" si="6"/>
        <v>0</v>
      </c>
      <c r="U28" s="11" t="str">
        <f t="shared" si="7"/>
        <v>#DIV/0!</v>
      </c>
      <c r="V28" s="10">
        <f t="shared" si="8"/>
        <v>1518</v>
      </c>
      <c r="W28" s="10">
        <f t="shared" si="9"/>
        <v>1518</v>
      </c>
      <c r="X28" s="11">
        <f t="shared" si="10"/>
        <v>1</v>
      </c>
      <c r="Y28" s="10">
        <f t="shared" ref="Y28:Z28" si="38">S28+V28</f>
        <v>1518</v>
      </c>
      <c r="Z28" s="12">
        <f t="shared" si="38"/>
        <v>1518</v>
      </c>
      <c r="AA28" s="13">
        <f t="shared" si="12"/>
        <v>1</v>
      </c>
      <c r="AB28" s="14">
        <f t="shared" si="13"/>
        <v>71.26760563</v>
      </c>
      <c r="AC28" s="14"/>
      <c r="AD28" s="14"/>
      <c r="AE28" s="14"/>
    </row>
    <row r="29">
      <c r="A29" s="9" t="s">
        <v>28</v>
      </c>
      <c r="B29" s="9" t="s">
        <v>33</v>
      </c>
      <c r="C29" s="9" t="s">
        <v>30</v>
      </c>
      <c r="D29" s="9" t="s">
        <v>29</v>
      </c>
      <c r="E29" s="10">
        <v>2544.0</v>
      </c>
      <c r="F29" s="10">
        <v>5952.0</v>
      </c>
      <c r="G29" s="10">
        <v>1572.0</v>
      </c>
      <c r="H29" s="10">
        <v>1631.0</v>
      </c>
      <c r="I29" s="10">
        <v>1572.0</v>
      </c>
      <c r="J29" s="10">
        <v>0.0</v>
      </c>
      <c r="K29" s="10">
        <v>4997.0</v>
      </c>
      <c r="L29" s="10">
        <v>0.0</v>
      </c>
      <c r="M29" s="10">
        <v>3737.0</v>
      </c>
      <c r="N29" s="10">
        <v>0.0</v>
      </c>
      <c r="O29" s="10">
        <v>3497.0</v>
      </c>
      <c r="P29" s="10">
        <f t="shared" si="2"/>
        <v>2544</v>
      </c>
      <c r="Q29" s="10">
        <f t="shared" si="3"/>
        <v>1631</v>
      </c>
      <c r="R29" s="11">
        <f t="shared" si="4"/>
        <v>64.11163522</v>
      </c>
      <c r="S29" s="11">
        <f t="shared" si="5"/>
        <v>0</v>
      </c>
      <c r="T29" s="11">
        <f t="shared" si="6"/>
        <v>0</v>
      </c>
      <c r="U29" s="11" t="str">
        <f t="shared" si="7"/>
        <v>#DIV/0!</v>
      </c>
      <c r="V29" s="10">
        <f t="shared" si="8"/>
        <v>5237</v>
      </c>
      <c r="W29" s="10">
        <f t="shared" si="9"/>
        <v>3737</v>
      </c>
      <c r="X29" s="11">
        <f t="shared" si="10"/>
        <v>1.401391491</v>
      </c>
      <c r="Y29" s="10">
        <f t="shared" ref="Y29:Z29" si="39">S29+V29</f>
        <v>5237</v>
      </c>
      <c r="Z29" s="12">
        <f t="shared" si="39"/>
        <v>3737</v>
      </c>
      <c r="AA29" s="13">
        <f t="shared" si="12"/>
        <v>1.401391491</v>
      </c>
      <c r="AB29" s="14">
        <f t="shared" si="13"/>
        <v>87.98723118</v>
      </c>
      <c r="AC29" s="14"/>
      <c r="AD29" s="14"/>
      <c r="AE29" s="14"/>
    </row>
    <row r="30">
      <c r="A30" s="9" t="s">
        <v>28</v>
      </c>
      <c r="B30" s="9" t="s">
        <v>33</v>
      </c>
      <c r="C30" s="9" t="s">
        <v>30</v>
      </c>
      <c r="D30" s="9" t="s">
        <v>29</v>
      </c>
      <c r="E30" s="10">
        <v>3100.0</v>
      </c>
      <c r="F30" s="10">
        <v>6200.0</v>
      </c>
      <c r="G30" s="10">
        <v>1638.0</v>
      </c>
      <c r="H30" s="10">
        <v>987.0</v>
      </c>
      <c r="I30" s="10">
        <v>1047.0</v>
      </c>
      <c r="J30" s="10">
        <v>0.0</v>
      </c>
      <c r="K30" s="10">
        <v>3276.0</v>
      </c>
      <c r="L30" s="10">
        <v>0.0</v>
      </c>
      <c r="M30" s="10">
        <v>1974.0</v>
      </c>
      <c r="N30" s="10">
        <v>0.0</v>
      </c>
      <c r="O30" s="10">
        <v>2094.0</v>
      </c>
      <c r="P30" s="10">
        <f t="shared" si="2"/>
        <v>3100</v>
      </c>
      <c r="Q30" s="10">
        <f t="shared" si="3"/>
        <v>1578</v>
      </c>
      <c r="R30" s="11">
        <f t="shared" si="4"/>
        <v>50.90322581</v>
      </c>
      <c r="S30" s="11">
        <f t="shared" si="5"/>
        <v>0</v>
      </c>
      <c r="T30" s="11">
        <f t="shared" si="6"/>
        <v>0</v>
      </c>
      <c r="U30" s="11" t="str">
        <f t="shared" si="7"/>
        <v>#DIV/0!</v>
      </c>
      <c r="V30" s="10">
        <f t="shared" si="8"/>
        <v>3156</v>
      </c>
      <c r="W30" s="10">
        <f t="shared" si="9"/>
        <v>1974</v>
      </c>
      <c r="X30" s="11">
        <f t="shared" si="10"/>
        <v>1.598784195</v>
      </c>
      <c r="Y30" s="10">
        <f t="shared" ref="Y30:Z30" si="40">S30+V30</f>
        <v>3156</v>
      </c>
      <c r="Z30" s="12">
        <f t="shared" si="40"/>
        <v>1974</v>
      </c>
      <c r="AA30" s="13">
        <f t="shared" si="12"/>
        <v>1.598784195</v>
      </c>
      <c r="AB30" s="14">
        <f t="shared" si="13"/>
        <v>50.90322581</v>
      </c>
      <c r="AC30" s="14"/>
      <c r="AD30" s="14"/>
      <c r="AE30" s="14"/>
    </row>
    <row r="31">
      <c r="A31" s="9" t="s">
        <v>28</v>
      </c>
      <c r="B31" s="9" t="s">
        <v>33</v>
      </c>
      <c r="C31" s="9" t="s">
        <v>30</v>
      </c>
      <c r="D31" s="9" t="s">
        <v>29</v>
      </c>
      <c r="E31" s="10">
        <v>682.0</v>
      </c>
      <c r="F31" s="10">
        <v>899.0</v>
      </c>
      <c r="G31" s="10">
        <v>75.0</v>
      </c>
      <c r="H31" s="10">
        <v>71.0</v>
      </c>
      <c r="I31" s="10">
        <v>75.0</v>
      </c>
      <c r="J31" s="10">
        <v>0.0</v>
      </c>
      <c r="K31" s="10">
        <v>81.0</v>
      </c>
      <c r="L31" s="10">
        <v>0.0</v>
      </c>
      <c r="M31" s="10">
        <v>77.0</v>
      </c>
      <c r="N31" s="10">
        <v>0.0</v>
      </c>
      <c r="O31" s="10">
        <v>81.0</v>
      </c>
      <c r="P31" s="10">
        <f t="shared" si="2"/>
        <v>682</v>
      </c>
      <c r="Q31" s="10">
        <f t="shared" si="3"/>
        <v>71</v>
      </c>
      <c r="R31" s="11">
        <f t="shared" si="4"/>
        <v>10.41055718</v>
      </c>
      <c r="S31" s="11">
        <f t="shared" si="5"/>
        <v>0</v>
      </c>
      <c r="T31" s="11">
        <f t="shared" si="6"/>
        <v>0</v>
      </c>
      <c r="U31" s="11" t="str">
        <f t="shared" si="7"/>
        <v>#DIV/0!</v>
      </c>
      <c r="V31" s="10">
        <f t="shared" si="8"/>
        <v>77</v>
      </c>
      <c r="W31" s="10">
        <f t="shared" si="9"/>
        <v>77</v>
      </c>
      <c r="X31" s="11">
        <f t="shared" si="10"/>
        <v>1</v>
      </c>
      <c r="Y31" s="10">
        <f t="shared" ref="Y31:Z31" si="41">S31+V31</f>
        <v>77</v>
      </c>
      <c r="Z31" s="12">
        <f t="shared" si="41"/>
        <v>77</v>
      </c>
      <c r="AA31" s="13">
        <f t="shared" si="12"/>
        <v>1</v>
      </c>
      <c r="AB31" s="14">
        <f t="shared" si="13"/>
        <v>8.565072303</v>
      </c>
      <c r="AC31" s="14"/>
      <c r="AD31" s="14"/>
      <c r="AE31" s="14"/>
    </row>
    <row r="32">
      <c r="A32" s="9" t="s">
        <v>28</v>
      </c>
      <c r="B32" s="9" t="s">
        <v>33</v>
      </c>
      <c r="C32" s="9" t="s">
        <v>30</v>
      </c>
      <c r="D32" s="9" t="s">
        <v>29</v>
      </c>
      <c r="E32" s="10">
        <v>1922.0</v>
      </c>
      <c r="F32" s="10">
        <v>3844.0</v>
      </c>
      <c r="G32" s="10">
        <v>1187.0</v>
      </c>
      <c r="H32" s="10">
        <v>786.0</v>
      </c>
      <c r="I32" s="10">
        <v>795.0</v>
      </c>
      <c r="J32" s="10">
        <v>0.0</v>
      </c>
      <c r="K32" s="10">
        <v>2304.0</v>
      </c>
      <c r="L32" s="10">
        <v>0.0</v>
      </c>
      <c r="M32" s="10">
        <v>1572.0</v>
      </c>
      <c r="N32" s="10">
        <v>0.0</v>
      </c>
      <c r="O32" s="10">
        <v>1590.0</v>
      </c>
      <c r="P32" s="10">
        <f t="shared" si="2"/>
        <v>1922</v>
      </c>
      <c r="Q32" s="10">
        <f t="shared" si="3"/>
        <v>1178</v>
      </c>
      <c r="R32" s="11">
        <f t="shared" si="4"/>
        <v>61.29032258</v>
      </c>
      <c r="S32" s="11">
        <f t="shared" si="5"/>
        <v>0</v>
      </c>
      <c r="T32" s="11">
        <f t="shared" si="6"/>
        <v>0</v>
      </c>
      <c r="U32" s="11" t="str">
        <f t="shared" si="7"/>
        <v>#DIV/0!</v>
      </c>
      <c r="V32" s="10">
        <f t="shared" si="8"/>
        <v>2286</v>
      </c>
      <c r="W32" s="10">
        <f t="shared" si="9"/>
        <v>1572</v>
      </c>
      <c r="X32" s="11">
        <f t="shared" si="10"/>
        <v>1.454198473</v>
      </c>
      <c r="Y32" s="10">
        <f t="shared" ref="Y32:Z32" si="42">S32+V32</f>
        <v>2286</v>
      </c>
      <c r="Z32" s="12">
        <f t="shared" si="42"/>
        <v>1572</v>
      </c>
      <c r="AA32" s="13">
        <f t="shared" si="12"/>
        <v>1.454198473</v>
      </c>
      <c r="AB32" s="14">
        <f t="shared" si="13"/>
        <v>59.46930281</v>
      </c>
      <c r="AC32" s="14"/>
      <c r="AD32" s="14"/>
      <c r="AE32" s="14"/>
    </row>
    <row r="33">
      <c r="A33" s="9" t="s">
        <v>28</v>
      </c>
      <c r="B33" s="9" t="s">
        <v>33</v>
      </c>
      <c r="C33" s="9" t="s">
        <v>30</v>
      </c>
      <c r="D33" s="9" t="s">
        <v>29</v>
      </c>
      <c r="E33" s="10">
        <v>2666.0</v>
      </c>
      <c r="F33" s="10">
        <v>3782.0</v>
      </c>
      <c r="G33" s="10">
        <v>1036.0</v>
      </c>
      <c r="H33" s="10">
        <v>1027.0</v>
      </c>
      <c r="I33" s="10">
        <v>1020.0</v>
      </c>
      <c r="J33" s="10">
        <v>0.0</v>
      </c>
      <c r="K33" s="10">
        <v>2088.0</v>
      </c>
      <c r="L33" s="10">
        <v>0.0</v>
      </c>
      <c r="M33" s="10">
        <v>2054.0</v>
      </c>
      <c r="N33" s="10">
        <v>0.0</v>
      </c>
      <c r="O33" s="10">
        <v>2056.0</v>
      </c>
      <c r="P33" s="10">
        <f t="shared" si="2"/>
        <v>2666</v>
      </c>
      <c r="Q33" s="10">
        <f t="shared" si="3"/>
        <v>1043</v>
      </c>
      <c r="R33" s="11">
        <f t="shared" si="4"/>
        <v>39.12228057</v>
      </c>
      <c r="S33" s="11">
        <f t="shared" si="5"/>
        <v>0</v>
      </c>
      <c r="T33" s="11">
        <f t="shared" si="6"/>
        <v>0</v>
      </c>
      <c r="U33" s="11" t="str">
        <f t="shared" si="7"/>
        <v>#DIV/0!</v>
      </c>
      <c r="V33" s="10">
        <f t="shared" si="8"/>
        <v>2086</v>
      </c>
      <c r="W33" s="10">
        <f t="shared" si="9"/>
        <v>2054</v>
      </c>
      <c r="X33" s="11">
        <f t="shared" si="10"/>
        <v>1.015579357</v>
      </c>
      <c r="Y33" s="10">
        <f t="shared" ref="Y33:Z33" si="43">S33+V33</f>
        <v>2086</v>
      </c>
      <c r="Z33" s="12">
        <f t="shared" si="43"/>
        <v>2054</v>
      </c>
      <c r="AA33" s="13">
        <f t="shared" si="12"/>
        <v>1.015579357</v>
      </c>
      <c r="AB33" s="14">
        <f t="shared" si="13"/>
        <v>55.15600212</v>
      </c>
      <c r="AC33" s="14"/>
      <c r="AD33" s="14"/>
      <c r="AE33" s="14"/>
    </row>
    <row r="34">
      <c r="A34" s="9" t="s">
        <v>28</v>
      </c>
      <c r="B34" s="9" t="s">
        <v>33</v>
      </c>
      <c r="C34" s="9" t="s">
        <v>30</v>
      </c>
      <c r="D34" s="9" t="s">
        <v>29</v>
      </c>
      <c r="E34" s="10">
        <v>5208.0</v>
      </c>
      <c r="F34" s="10">
        <v>7316.0</v>
      </c>
      <c r="G34" s="10">
        <v>3515.0</v>
      </c>
      <c r="H34" s="10">
        <v>3087.0</v>
      </c>
      <c r="I34" s="10">
        <v>3026.0</v>
      </c>
      <c r="J34" s="10">
        <v>0.0</v>
      </c>
      <c r="K34" s="10">
        <v>8119.0</v>
      </c>
      <c r="L34" s="10">
        <v>0.0</v>
      </c>
      <c r="M34" s="10">
        <v>5962.0</v>
      </c>
      <c r="N34" s="10">
        <v>0.0</v>
      </c>
      <c r="O34" s="10">
        <v>5773.0</v>
      </c>
      <c r="P34" s="10">
        <f t="shared" si="2"/>
        <v>5208</v>
      </c>
      <c r="Q34" s="10">
        <f t="shared" si="3"/>
        <v>3576</v>
      </c>
      <c r="R34" s="11">
        <f t="shared" si="4"/>
        <v>68.66359447</v>
      </c>
      <c r="S34" s="11">
        <f t="shared" si="5"/>
        <v>0</v>
      </c>
      <c r="T34" s="11">
        <f t="shared" si="6"/>
        <v>0</v>
      </c>
      <c r="U34" s="11" t="str">
        <f t="shared" si="7"/>
        <v>#DIV/0!</v>
      </c>
      <c r="V34" s="10">
        <f t="shared" si="8"/>
        <v>8308</v>
      </c>
      <c r="W34" s="10">
        <f t="shared" si="9"/>
        <v>5962</v>
      </c>
      <c r="X34" s="11">
        <f t="shared" si="10"/>
        <v>1.393492117</v>
      </c>
      <c r="Y34" s="10">
        <f t="shared" ref="Y34:Z34" si="44">S34+V34</f>
        <v>8308</v>
      </c>
      <c r="Z34" s="12">
        <f t="shared" si="44"/>
        <v>5962</v>
      </c>
      <c r="AA34" s="13">
        <f t="shared" si="12"/>
        <v>1.393492117</v>
      </c>
      <c r="AB34" s="14">
        <f t="shared" si="13"/>
        <v>113.559322</v>
      </c>
      <c r="AC34" s="14"/>
      <c r="AD34" s="14"/>
      <c r="AE34" s="14"/>
    </row>
    <row r="35">
      <c r="A35" s="9" t="s">
        <v>28</v>
      </c>
      <c r="B35" s="9" t="s">
        <v>33</v>
      </c>
      <c r="C35" s="9" t="s">
        <v>30</v>
      </c>
      <c r="D35" s="9" t="s">
        <v>29</v>
      </c>
      <c r="E35" s="10">
        <v>40300.0</v>
      </c>
      <c r="F35" s="10">
        <v>59334.0</v>
      </c>
      <c r="G35" s="10">
        <v>27057.0</v>
      </c>
      <c r="H35" s="10">
        <v>21194.0</v>
      </c>
      <c r="I35" s="10">
        <v>20910.0</v>
      </c>
      <c r="J35" s="10">
        <v>138.0</v>
      </c>
      <c r="K35" s="10">
        <v>65878.0</v>
      </c>
      <c r="L35" s="10">
        <v>40.0</v>
      </c>
      <c r="M35" s="10">
        <v>36662.0</v>
      </c>
      <c r="N35" s="10">
        <v>28.0</v>
      </c>
      <c r="O35" s="10">
        <v>35259.0</v>
      </c>
      <c r="P35" s="10">
        <f t="shared" si="2"/>
        <v>40300</v>
      </c>
      <c r="Q35" s="10">
        <f t="shared" si="3"/>
        <v>27341</v>
      </c>
      <c r="R35" s="11">
        <f t="shared" si="4"/>
        <v>67.84367246</v>
      </c>
      <c r="S35" s="11">
        <f t="shared" si="5"/>
        <v>150</v>
      </c>
      <c r="T35" s="11">
        <f t="shared" si="6"/>
        <v>40</v>
      </c>
      <c r="U35" s="11">
        <f t="shared" si="7"/>
        <v>3.75</v>
      </c>
      <c r="V35" s="10">
        <f t="shared" si="8"/>
        <v>67281</v>
      </c>
      <c r="W35" s="10">
        <f t="shared" si="9"/>
        <v>36662</v>
      </c>
      <c r="X35" s="11">
        <f t="shared" si="10"/>
        <v>1.835169931</v>
      </c>
      <c r="Y35" s="10">
        <f t="shared" ref="Y35:Z35" si="45">S35+V35</f>
        <v>67431</v>
      </c>
      <c r="Z35" s="12">
        <f t="shared" si="45"/>
        <v>36702</v>
      </c>
      <c r="AA35" s="13">
        <f t="shared" si="12"/>
        <v>1.837256825</v>
      </c>
      <c r="AB35" s="14">
        <f t="shared" si="13"/>
        <v>113.6464759</v>
      </c>
      <c r="AC35" s="14"/>
      <c r="AD35" s="14"/>
      <c r="AE35" s="14"/>
    </row>
    <row r="36">
      <c r="A36" s="9" t="s">
        <v>28</v>
      </c>
      <c r="B36" s="9" t="s">
        <v>33</v>
      </c>
      <c r="C36" s="9" t="s">
        <v>30</v>
      </c>
      <c r="D36" s="9" t="s">
        <v>29</v>
      </c>
      <c r="E36" s="10">
        <v>32681.0</v>
      </c>
      <c r="F36" s="10">
        <v>46624.0</v>
      </c>
      <c r="G36" s="10">
        <v>22425.0</v>
      </c>
      <c r="H36" s="10">
        <v>15096.0</v>
      </c>
      <c r="I36" s="10">
        <v>14970.0</v>
      </c>
      <c r="J36" s="10">
        <v>393.0</v>
      </c>
      <c r="K36" s="10">
        <v>47223.0</v>
      </c>
      <c r="L36" s="10">
        <v>103.0</v>
      </c>
      <c r="M36" s="10">
        <v>25882.0</v>
      </c>
      <c r="N36" s="10">
        <v>126.0</v>
      </c>
      <c r="O36" s="10">
        <v>24997.0</v>
      </c>
      <c r="P36" s="10">
        <f t="shared" si="2"/>
        <v>32681</v>
      </c>
      <c r="Q36" s="10">
        <f t="shared" si="3"/>
        <v>22551</v>
      </c>
      <c r="R36" s="11">
        <f t="shared" si="4"/>
        <v>69.00339647</v>
      </c>
      <c r="S36" s="11">
        <f t="shared" si="5"/>
        <v>370</v>
      </c>
      <c r="T36" s="11">
        <f t="shared" si="6"/>
        <v>103</v>
      </c>
      <c r="U36" s="11">
        <f t="shared" si="7"/>
        <v>3.59223301</v>
      </c>
      <c r="V36" s="10">
        <f t="shared" si="8"/>
        <v>48108</v>
      </c>
      <c r="W36" s="10">
        <f t="shared" si="9"/>
        <v>25882</v>
      </c>
      <c r="X36" s="11">
        <f t="shared" si="10"/>
        <v>1.858743528</v>
      </c>
      <c r="Y36" s="10">
        <f t="shared" ref="Y36:Z36" si="46">S36+V36</f>
        <v>48478</v>
      </c>
      <c r="Z36" s="12">
        <f t="shared" si="46"/>
        <v>25985</v>
      </c>
      <c r="AA36" s="13">
        <f t="shared" si="12"/>
        <v>1.865614778</v>
      </c>
      <c r="AB36" s="14">
        <f t="shared" si="13"/>
        <v>103.9764928</v>
      </c>
      <c r="AC36" s="14"/>
      <c r="AD36" s="14"/>
      <c r="AE36" s="14"/>
    </row>
    <row r="37">
      <c r="A37" s="9" t="s">
        <v>28</v>
      </c>
      <c r="B37" s="9" t="s">
        <v>33</v>
      </c>
      <c r="C37" s="9" t="s">
        <v>30</v>
      </c>
      <c r="D37" s="9" t="s">
        <v>29</v>
      </c>
      <c r="E37" s="10">
        <v>12431.0</v>
      </c>
      <c r="F37" s="10">
        <v>2139.0</v>
      </c>
      <c r="G37" s="10">
        <v>654.0</v>
      </c>
      <c r="H37" s="10">
        <v>672.0</v>
      </c>
      <c r="I37" s="10">
        <v>654.0</v>
      </c>
      <c r="J37" s="10">
        <v>0.0</v>
      </c>
      <c r="K37" s="10">
        <v>1308.0</v>
      </c>
      <c r="L37" s="10">
        <v>0.0</v>
      </c>
      <c r="M37" s="10">
        <v>1344.0</v>
      </c>
      <c r="N37" s="10">
        <v>0.0</v>
      </c>
      <c r="O37" s="10">
        <v>1308.0</v>
      </c>
      <c r="P37" s="10">
        <f t="shared" si="2"/>
        <v>12431</v>
      </c>
      <c r="Q37" s="10">
        <f t="shared" si="3"/>
        <v>672</v>
      </c>
      <c r="R37" s="11">
        <f t="shared" si="4"/>
        <v>5.405840238</v>
      </c>
      <c r="S37" s="11">
        <f t="shared" si="5"/>
        <v>0</v>
      </c>
      <c r="T37" s="11">
        <f t="shared" si="6"/>
        <v>0</v>
      </c>
      <c r="U37" s="11" t="str">
        <f t="shared" si="7"/>
        <v>#DIV/0!</v>
      </c>
      <c r="V37" s="10">
        <f t="shared" si="8"/>
        <v>1344</v>
      </c>
      <c r="W37" s="10">
        <f t="shared" si="9"/>
        <v>1344</v>
      </c>
      <c r="X37" s="11">
        <f t="shared" si="10"/>
        <v>1</v>
      </c>
      <c r="Y37" s="10">
        <f t="shared" ref="Y37:Z37" si="47">S37+V37</f>
        <v>1344</v>
      </c>
      <c r="Z37" s="12">
        <f t="shared" si="47"/>
        <v>1344</v>
      </c>
      <c r="AA37" s="13">
        <f t="shared" si="12"/>
        <v>1</v>
      </c>
      <c r="AB37" s="14">
        <f t="shared" si="13"/>
        <v>62.83309958</v>
      </c>
      <c r="AC37" s="14"/>
      <c r="AD37" s="14"/>
      <c r="AE37" s="14"/>
    </row>
    <row r="38">
      <c r="A38" s="9" t="s">
        <v>28</v>
      </c>
      <c r="B38" s="9" t="s">
        <v>34</v>
      </c>
      <c r="C38" s="9" t="s">
        <v>30</v>
      </c>
      <c r="D38" s="9" t="s">
        <v>29</v>
      </c>
      <c r="E38" s="10">
        <v>2100.0</v>
      </c>
      <c r="F38" s="10">
        <v>3584.0</v>
      </c>
      <c r="G38" s="10">
        <v>1058.0</v>
      </c>
      <c r="H38" s="10">
        <v>1042.0</v>
      </c>
      <c r="I38" s="10">
        <v>1058.0</v>
      </c>
      <c r="J38" s="10">
        <v>0.0</v>
      </c>
      <c r="K38" s="10">
        <v>2167.0</v>
      </c>
      <c r="L38" s="10">
        <v>0.0</v>
      </c>
      <c r="M38" s="10">
        <v>2084.0</v>
      </c>
      <c r="N38" s="10">
        <v>0.0</v>
      </c>
      <c r="O38" s="10">
        <v>2099.0</v>
      </c>
      <c r="P38" s="10">
        <f t="shared" si="2"/>
        <v>2100</v>
      </c>
      <c r="Q38" s="10">
        <f t="shared" si="3"/>
        <v>1042</v>
      </c>
      <c r="R38" s="11">
        <f t="shared" si="4"/>
        <v>49.61904762</v>
      </c>
      <c r="S38" s="11">
        <f t="shared" si="5"/>
        <v>0</v>
      </c>
      <c r="T38" s="11">
        <f t="shared" si="6"/>
        <v>0</v>
      </c>
      <c r="U38" s="11" t="str">
        <f t="shared" si="7"/>
        <v>#DIV/0!</v>
      </c>
      <c r="V38" s="10">
        <f t="shared" si="8"/>
        <v>2152</v>
      </c>
      <c r="W38" s="10">
        <f t="shared" si="9"/>
        <v>2084</v>
      </c>
      <c r="X38" s="11">
        <f t="shared" si="10"/>
        <v>1.032629559</v>
      </c>
      <c r="Y38" s="10">
        <f t="shared" ref="Y38:Z38" si="48">S38+V38</f>
        <v>2152</v>
      </c>
      <c r="Z38" s="12">
        <f t="shared" si="48"/>
        <v>2084</v>
      </c>
      <c r="AA38" s="13">
        <f t="shared" si="12"/>
        <v>1.032629559</v>
      </c>
      <c r="AB38" s="14">
        <f t="shared" si="13"/>
        <v>60.04464286</v>
      </c>
      <c r="AC38" s="14"/>
      <c r="AD38" s="14"/>
      <c r="AE38" s="14"/>
    </row>
    <row r="39">
      <c r="A39" s="9" t="s">
        <v>28</v>
      </c>
      <c r="B39" s="9" t="s">
        <v>34</v>
      </c>
      <c r="C39" s="9" t="s">
        <v>30</v>
      </c>
      <c r="D39" s="9" t="s">
        <v>29</v>
      </c>
      <c r="E39" s="10">
        <v>2800.0</v>
      </c>
      <c r="F39" s="10">
        <v>5600.0</v>
      </c>
      <c r="G39" s="10">
        <v>817.0</v>
      </c>
      <c r="H39" s="10">
        <v>589.0</v>
      </c>
      <c r="I39" s="10">
        <v>590.0</v>
      </c>
      <c r="J39" s="10">
        <v>0.0</v>
      </c>
      <c r="K39" s="10">
        <v>1654.0</v>
      </c>
      <c r="L39" s="10">
        <v>0.0</v>
      </c>
      <c r="M39" s="10">
        <v>1198.0</v>
      </c>
      <c r="N39" s="10">
        <v>0.0</v>
      </c>
      <c r="O39" s="10">
        <v>1180.0</v>
      </c>
      <c r="P39" s="10">
        <f t="shared" si="2"/>
        <v>2800</v>
      </c>
      <c r="Q39" s="10">
        <f t="shared" si="3"/>
        <v>816</v>
      </c>
      <c r="R39" s="11">
        <f t="shared" si="4"/>
        <v>29.14285714</v>
      </c>
      <c r="S39" s="11">
        <f t="shared" si="5"/>
        <v>0</v>
      </c>
      <c r="T39" s="11">
        <f t="shared" si="6"/>
        <v>0</v>
      </c>
      <c r="U39" s="11" t="str">
        <f t="shared" si="7"/>
        <v>#DIV/0!</v>
      </c>
      <c r="V39" s="10">
        <f t="shared" si="8"/>
        <v>1672</v>
      </c>
      <c r="W39" s="10">
        <f t="shared" si="9"/>
        <v>1198</v>
      </c>
      <c r="X39" s="11">
        <f t="shared" si="10"/>
        <v>1.395659432</v>
      </c>
      <c r="Y39" s="10">
        <f t="shared" ref="Y39:Z39" si="49">S39+V39</f>
        <v>1672</v>
      </c>
      <c r="Z39" s="12">
        <f t="shared" si="49"/>
        <v>1198</v>
      </c>
      <c r="AA39" s="13">
        <f t="shared" si="12"/>
        <v>1.395659432</v>
      </c>
      <c r="AB39" s="14">
        <f t="shared" si="13"/>
        <v>29.85714286</v>
      </c>
      <c r="AC39" s="14"/>
      <c r="AD39" s="14"/>
      <c r="AE39" s="14"/>
    </row>
    <row r="40">
      <c r="A40" s="9" t="s">
        <v>28</v>
      </c>
      <c r="B40" s="9" t="s">
        <v>34</v>
      </c>
      <c r="C40" s="9" t="s">
        <v>30</v>
      </c>
      <c r="D40" s="9" t="s">
        <v>29</v>
      </c>
      <c r="E40" s="10">
        <v>616.0</v>
      </c>
      <c r="F40" s="10">
        <v>812.0</v>
      </c>
      <c r="G40" s="10">
        <v>201.0</v>
      </c>
      <c r="H40" s="10">
        <v>111.0</v>
      </c>
      <c r="I40" s="10">
        <v>111.0</v>
      </c>
      <c r="J40" s="10">
        <v>0.0</v>
      </c>
      <c r="K40" s="10">
        <v>352.0</v>
      </c>
      <c r="L40" s="10">
        <v>0.0</v>
      </c>
      <c r="M40" s="10">
        <v>183.0</v>
      </c>
      <c r="N40" s="10">
        <v>0.0</v>
      </c>
      <c r="O40" s="10">
        <v>181.0</v>
      </c>
      <c r="P40" s="10">
        <f t="shared" si="2"/>
        <v>616</v>
      </c>
      <c r="Q40" s="10">
        <f t="shared" si="3"/>
        <v>201</v>
      </c>
      <c r="R40" s="11">
        <f t="shared" si="4"/>
        <v>32.62987013</v>
      </c>
      <c r="S40" s="11">
        <f t="shared" si="5"/>
        <v>0</v>
      </c>
      <c r="T40" s="11">
        <f t="shared" si="6"/>
        <v>0</v>
      </c>
      <c r="U40" s="11" t="str">
        <f t="shared" si="7"/>
        <v>#DIV/0!</v>
      </c>
      <c r="V40" s="10">
        <f t="shared" si="8"/>
        <v>354</v>
      </c>
      <c r="W40" s="10">
        <f t="shared" si="9"/>
        <v>183</v>
      </c>
      <c r="X40" s="11">
        <f t="shared" si="10"/>
        <v>1.93442623</v>
      </c>
      <c r="Y40" s="10">
        <f t="shared" ref="Y40:Z40" si="50">S40+V40</f>
        <v>354</v>
      </c>
      <c r="Z40" s="12">
        <f t="shared" si="50"/>
        <v>183</v>
      </c>
      <c r="AA40" s="13">
        <f t="shared" si="12"/>
        <v>1.93442623</v>
      </c>
      <c r="AB40" s="14">
        <f t="shared" si="13"/>
        <v>43.59605911</v>
      </c>
      <c r="AC40" s="14"/>
      <c r="AD40" s="14"/>
      <c r="AE40" s="14"/>
    </row>
    <row r="41">
      <c r="A41" s="9" t="s">
        <v>28</v>
      </c>
      <c r="B41" s="9" t="s">
        <v>34</v>
      </c>
      <c r="C41" s="9" t="s">
        <v>30</v>
      </c>
      <c r="D41" s="9" t="s">
        <v>29</v>
      </c>
      <c r="E41" s="10">
        <v>1736.0</v>
      </c>
      <c r="F41" s="10">
        <v>2688.0</v>
      </c>
      <c r="G41" s="10">
        <v>743.0</v>
      </c>
      <c r="H41" s="10">
        <v>312.0</v>
      </c>
      <c r="I41" s="10">
        <v>335.0</v>
      </c>
      <c r="J41" s="10">
        <v>0.0</v>
      </c>
      <c r="K41" s="10">
        <v>1318.0</v>
      </c>
      <c r="L41" s="10">
        <v>0.0</v>
      </c>
      <c r="M41" s="10">
        <v>565.0</v>
      </c>
      <c r="N41" s="10">
        <v>0.0</v>
      </c>
      <c r="O41" s="10">
        <v>606.0</v>
      </c>
      <c r="P41" s="10">
        <f t="shared" si="2"/>
        <v>1736</v>
      </c>
      <c r="Q41" s="10">
        <f t="shared" si="3"/>
        <v>720</v>
      </c>
      <c r="R41" s="11">
        <f t="shared" si="4"/>
        <v>41.47465438</v>
      </c>
      <c r="S41" s="11">
        <f t="shared" si="5"/>
        <v>0</v>
      </c>
      <c r="T41" s="11">
        <f t="shared" si="6"/>
        <v>0</v>
      </c>
      <c r="U41" s="11" t="str">
        <f t="shared" si="7"/>
        <v>#DIV/0!</v>
      </c>
      <c r="V41" s="10">
        <f t="shared" si="8"/>
        <v>1277</v>
      </c>
      <c r="W41" s="10">
        <f t="shared" si="9"/>
        <v>565</v>
      </c>
      <c r="X41" s="11">
        <f t="shared" si="10"/>
        <v>2.260176991</v>
      </c>
      <c r="Y41" s="10">
        <f t="shared" ref="Y41:Z41" si="51">S41+V41</f>
        <v>1277</v>
      </c>
      <c r="Z41" s="12">
        <f t="shared" si="51"/>
        <v>565</v>
      </c>
      <c r="AA41" s="13">
        <f t="shared" si="12"/>
        <v>2.260176991</v>
      </c>
      <c r="AB41" s="14">
        <f t="shared" si="13"/>
        <v>47.50744048</v>
      </c>
      <c r="AC41" s="14"/>
      <c r="AD41" s="14"/>
      <c r="AE41" s="14"/>
    </row>
    <row r="42">
      <c r="A42" s="9" t="s">
        <v>28</v>
      </c>
      <c r="B42" s="9" t="s">
        <v>34</v>
      </c>
      <c r="C42" s="9" t="s">
        <v>30</v>
      </c>
      <c r="D42" s="9" t="s">
        <v>29</v>
      </c>
      <c r="E42" s="10">
        <v>2408.0</v>
      </c>
      <c r="F42" s="10">
        <v>3416.0</v>
      </c>
      <c r="G42" s="10">
        <v>817.0</v>
      </c>
      <c r="H42" s="10">
        <v>719.0</v>
      </c>
      <c r="I42" s="10">
        <v>708.0</v>
      </c>
      <c r="J42" s="10">
        <v>0.0</v>
      </c>
      <c r="K42" s="10">
        <v>3721.0</v>
      </c>
      <c r="L42" s="10">
        <v>0.0</v>
      </c>
      <c r="M42" s="10">
        <v>1438.0</v>
      </c>
      <c r="N42" s="10">
        <v>0.0</v>
      </c>
      <c r="O42" s="10">
        <v>1314.0</v>
      </c>
      <c r="P42" s="10">
        <f t="shared" si="2"/>
        <v>2408</v>
      </c>
      <c r="Q42" s="10">
        <f t="shared" si="3"/>
        <v>828</v>
      </c>
      <c r="R42" s="11">
        <f t="shared" si="4"/>
        <v>34.38538206</v>
      </c>
      <c r="S42" s="11">
        <f t="shared" si="5"/>
        <v>0</v>
      </c>
      <c r="T42" s="11">
        <f t="shared" si="6"/>
        <v>0</v>
      </c>
      <c r="U42" s="11" t="str">
        <f t="shared" si="7"/>
        <v>#DIV/0!</v>
      </c>
      <c r="V42" s="10">
        <f t="shared" si="8"/>
        <v>3845</v>
      </c>
      <c r="W42" s="10">
        <f t="shared" si="9"/>
        <v>1438</v>
      </c>
      <c r="X42" s="11">
        <f t="shared" si="10"/>
        <v>2.673852573</v>
      </c>
      <c r="Y42" s="10">
        <f t="shared" ref="Y42:Z42" si="52">S42+V42</f>
        <v>3845</v>
      </c>
      <c r="Z42" s="12">
        <f t="shared" si="52"/>
        <v>1438</v>
      </c>
      <c r="AA42" s="13">
        <f t="shared" si="12"/>
        <v>2.673852573</v>
      </c>
      <c r="AB42" s="14">
        <f t="shared" si="13"/>
        <v>112.558548</v>
      </c>
      <c r="AC42" s="14"/>
      <c r="AD42" s="14"/>
      <c r="AE42" s="14"/>
    </row>
    <row r="43">
      <c r="A43" s="9" t="s">
        <v>28</v>
      </c>
      <c r="B43" s="9" t="s">
        <v>34</v>
      </c>
      <c r="C43" s="9" t="s">
        <v>30</v>
      </c>
      <c r="D43" s="9" t="s">
        <v>29</v>
      </c>
      <c r="E43" s="10">
        <v>4704.0</v>
      </c>
      <c r="F43" s="10">
        <v>6608.0</v>
      </c>
      <c r="G43" s="10">
        <v>1913.0</v>
      </c>
      <c r="H43" s="10">
        <v>1878.0</v>
      </c>
      <c r="I43" s="10">
        <v>1830.0</v>
      </c>
      <c r="J43" s="10">
        <v>0.0</v>
      </c>
      <c r="K43" s="10">
        <v>3818.0</v>
      </c>
      <c r="L43" s="10">
        <v>0.0</v>
      </c>
      <c r="M43" s="10">
        <v>3746.0</v>
      </c>
      <c r="N43" s="10">
        <v>0.0</v>
      </c>
      <c r="O43" s="10">
        <v>3645.0</v>
      </c>
      <c r="P43" s="10">
        <f t="shared" si="2"/>
        <v>4704</v>
      </c>
      <c r="Q43" s="10">
        <f t="shared" si="3"/>
        <v>1961</v>
      </c>
      <c r="R43" s="11">
        <f t="shared" si="4"/>
        <v>41.68792517</v>
      </c>
      <c r="S43" s="11">
        <f t="shared" si="5"/>
        <v>0</v>
      </c>
      <c r="T43" s="11">
        <f t="shared" si="6"/>
        <v>0</v>
      </c>
      <c r="U43" s="11" t="str">
        <f t="shared" si="7"/>
        <v>#DIV/0!</v>
      </c>
      <c r="V43" s="10">
        <f t="shared" si="8"/>
        <v>3919</v>
      </c>
      <c r="W43" s="10">
        <f t="shared" si="9"/>
        <v>3746</v>
      </c>
      <c r="X43" s="11">
        <f t="shared" si="10"/>
        <v>1.046182595</v>
      </c>
      <c r="Y43" s="10">
        <f t="shared" ref="Y43:Z43" si="53">S43+V43</f>
        <v>3919</v>
      </c>
      <c r="Z43" s="12">
        <f t="shared" si="53"/>
        <v>3746</v>
      </c>
      <c r="AA43" s="13">
        <f t="shared" si="12"/>
        <v>1.046182595</v>
      </c>
      <c r="AB43" s="14">
        <f t="shared" si="13"/>
        <v>59.30690073</v>
      </c>
      <c r="AC43" s="14"/>
      <c r="AD43" s="14"/>
      <c r="AE43" s="14"/>
    </row>
    <row r="44">
      <c r="A44" s="9" t="s">
        <v>28</v>
      </c>
      <c r="B44" s="9" t="s">
        <v>34</v>
      </c>
      <c r="C44" s="9" t="s">
        <v>30</v>
      </c>
      <c r="D44" s="9" t="s">
        <v>29</v>
      </c>
      <c r="E44" s="10">
        <v>36400.0</v>
      </c>
      <c r="F44" s="10">
        <v>54208.0</v>
      </c>
      <c r="G44" s="10">
        <v>18090.0</v>
      </c>
      <c r="H44" s="10">
        <v>13013.0</v>
      </c>
      <c r="I44" s="10">
        <v>13062.0</v>
      </c>
      <c r="J44" s="10">
        <v>31.0</v>
      </c>
      <c r="K44" s="10">
        <v>34577.0</v>
      </c>
      <c r="L44" s="10">
        <v>9.0</v>
      </c>
      <c r="M44" s="10">
        <v>23842.0</v>
      </c>
      <c r="N44" s="10">
        <v>7.0</v>
      </c>
      <c r="O44" s="10">
        <v>23681.0</v>
      </c>
      <c r="P44" s="10">
        <f t="shared" si="2"/>
        <v>36400</v>
      </c>
      <c r="Q44" s="10">
        <f t="shared" si="3"/>
        <v>18041</v>
      </c>
      <c r="R44" s="11">
        <f t="shared" si="4"/>
        <v>49.56318681</v>
      </c>
      <c r="S44" s="11">
        <f t="shared" si="5"/>
        <v>33</v>
      </c>
      <c r="T44" s="11">
        <f t="shared" si="6"/>
        <v>9</v>
      </c>
      <c r="U44" s="11">
        <f t="shared" si="7"/>
        <v>3.666666667</v>
      </c>
      <c r="V44" s="10">
        <f t="shared" si="8"/>
        <v>34738</v>
      </c>
      <c r="W44" s="10">
        <f t="shared" si="9"/>
        <v>23842</v>
      </c>
      <c r="X44" s="11">
        <f t="shared" si="10"/>
        <v>1.45700864</v>
      </c>
      <c r="Y44" s="10">
        <f t="shared" ref="Y44:Z44" si="54">S44+V44</f>
        <v>34771</v>
      </c>
      <c r="Z44" s="12">
        <f t="shared" si="54"/>
        <v>23851</v>
      </c>
      <c r="AA44" s="13">
        <f t="shared" si="12"/>
        <v>1.457842438</v>
      </c>
      <c r="AB44" s="14">
        <f t="shared" si="13"/>
        <v>64.14366883</v>
      </c>
      <c r="AC44" s="14"/>
      <c r="AD44" s="14"/>
      <c r="AE44" s="14"/>
    </row>
    <row r="45">
      <c r="A45" s="9" t="s">
        <v>28</v>
      </c>
      <c r="B45" s="9" t="s">
        <v>34</v>
      </c>
      <c r="C45" s="9" t="s">
        <v>30</v>
      </c>
      <c r="D45" s="9" t="s">
        <v>29</v>
      </c>
      <c r="E45" s="10">
        <v>29400.0</v>
      </c>
      <c r="F45" s="10">
        <v>42000.0</v>
      </c>
      <c r="G45" s="10">
        <v>15321.0</v>
      </c>
      <c r="H45" s="10">
        <v>9289.0</v>
      </c>
      <c r="I45" s="10">
        <v>9298.0</v>
      </c>
      <c r="J45" s="10">
        <v>106.0</v>
      </c>
      <c r="K45" s="10">
        <v>25343.0</v>
      </c>
      <c r="L45" s="10">
        <v>29.0</v>
      </c>
      <c r="M45" s="10">
        <v>16385.0</v>
      </c>
      <c r="N45" s="10">
        <v>31.0</v>
      </c>
      <c r="O45" s="10">
        <v>16713.0</v>
      </c>
      <c r="P45" s="10">
        <f t="shared" si="2"/>
        <v>29400</v>
      </c>
      <c r="Q45" s="10">
        <f t="shared" si="3"/>
        <v>15312</v>
      </c>
      <c r="R45" s="11">
        <f t="shared" si="4"/>
        <v>52.08163265</v>
      </c>
      <c r="S45" s="11">
        <f t="shared" si="5"/>
        <v>104</v>
      </c>
      <c r="T45" s="11">
        <f t="shared" si="6"/>
        <v>29</v>
      </c>
      <c r="U45" s="11">
        <f t="shared" si="7"/>
        <v>3.586206897</v>
      </c>
      <c r="V45" s="10">
        <f t="shared" si="8"/>
        <v>25015</v>
      </c>
      <c r="W45" s="10">
        <f t="shared" si="9"/>
        <v>16385</v>
      </c>
      <c r="X45" s="11">
        <f t="shared" si="10"/>
        <v>1.526701251</v>
      </c>
      <c r="Y45" s="10">
        <f t="shared" ref="Y45:Z45" si="55">S45+V45</f>
        <v>25119</v>
      </c>
      <c r="Z45" s="12">
        <f t="shared" si="55"/>
        <v>16414</v>
      </c>
      <c r="AA45" s="13">
        <f t="shared" si="12"/>
        <v>1.530339954</v>
      </c>
      <c r="AB45" s="14">
        <f t="shared" si="13"/>
        <v>59.80714286</v>
      </c>
      <c r="AC45" s="14"/>
      <c r="AD45" s="14"/>
      <c r="AE45" s="14"/>
    </row>
    <row r="46">
      <c r="A46" s="9" t="s">
        <v>28</v>
      </c>
      <c r="B46" s="9" t="s">
        <v>34</v>
      </c>
      <c r="C46" s="9" t="s">
        <v>30</v>
      </c>
      <c r="D46" s="9" t="s">
        <v>29</v>
      </c>
      <c r="E46" s="10">
        <v>952.0</v>
      </c>
      <c r="F46" s="10">
        <v>1708.0</v>
      </c>
      <c r="G46" s="10">
        <v>420.0</v>
      </c>
      <c r="H46" s="10">
        <v>403.0</v>
      </c>
      <c r="I46" s="10">
        <v>420.0</v>
      </c>
      <c r="J46" s="10">
        <v>0.0</v>
      </c>
      <c r="K46" s="10">
        <v>840.0</v>
      </c>
      <c r="L46" s="10">
        <v>0.0</v>
      </c>
      <c r="M46" s="10">
        <v>806.0</v>
      </c>
      <c r="N46" s="10">
        <v>0.0</v>
      </c>
      <c r="O46" s="10">
        <v>840.0</v>
      </c>
      <c r="P46" s="10">
        <f t="shared" si="2"/>
        <v>952</v>
      </c>
      <c r="Q46" s="10">
        <f t="shared" si="3"/>
        <v>403</v>
      </c>
      <c r="R46" s="11">
        <f t="shared" si="4"/>
        <v>42.33193277</v>
      </c>
      <c r="S46" s="11">
        <f t="shared" si="5"/>
        <v>0</v>
      </c>
      <c r="T46" s="11">
        <f t="shared" si="6"/>
        <v>0</v>
      </c>
      <c r="U46" s="11" t="str">
        <f t="shared" si="7"/>
        <v>#DIV/0!</v>
      </c>
      <c r="V46" s="10">
        <f t="shared" si="8"/>
        <v>806</v>
      </c>
      <c r="W46" s="10">
        <f t="shared" si="9"/>
        <v>806</v>
      </c>
      <c r="X46" s="11">
        <f t="shared" si="10"/>
        <v>1</v>
      </c>
      <c r="Y46" s="10">
        <f t="shared" ref="Y46:Z46" si="56">S46+V46</f>
        <v>806</v>
      </c>
      <c r="Z46" s="12">
        <f t="shared" si="56"/>
        <v>806</v>
      </c>
      <c r="AA46" s="13">
        <f t="shared" si="12"/>
        <v>1</v>
      </c>
      <c r="AB46" s="14">
        <f t="shared" si="13"/>
        <v>47.18969555</v>
      </c>
      <c r="AC46" s="14"/>
      <c r="AD46" s="14"/>
      <c r="AE46" s="14"/>
    </row>
    <row r="47">
      <c r="A47" s="9" t="s">
        <v>28</v>
      </c>
      <c r="B47" s="9" t="s">
        <v>35</v>
      </c>
      <c r="C47" s="9" t="s">
        <v>30</v>
      </c>
      <c r="D47" s="9" t="s">
        <v>29</v>
      </c>
      <c r="E47" s="10">
        <v>2325.0</v>
      </c>
      <c r="F47" s="10">
        <v>4929.0</v>
      </c>
      <c r="G47" s="10">
        <v>1270.0</v>
      </c>
      <c r="H47" s="10">
        <v>1266.0</v>
      </c>
      <c r="I47" s="10">
        <v>1270.0</v>
      </c>
      <c r="J47" s="10">
        <v>0.0</v>
      </c>
      <c r="K47" s="10">
        <v>3080.0</v>
      </c>
      <c r="L47" s="10">
        <v>0.0</v>
      </c>
      <c r="M47" s="10">
        <v>2532.0</v>
      </c>
      <c r="N47" s="10">
        <v>0.0</v>
      </c>
      <c r="O47" s="10">
        <v>2510.0</v>
      </c>
      <c r="P47" s="10">
        <f t="shared" si="2"/>
        <v>2325</v>
      </c>
      <c r="Q47" s="10">
        <f t="shared" si="3"/>
        <v>1266</v>
      </c>
      <c r="R47" s="11">
        <f t="shared" si="4"/>
        <v>54.4516129</v>
      </c>
      <c r="S47" s="11">
        <f t="shared" si="5"/>
        <v>0</v>
      </c>
      <c r="T47" s="11">
        <f t="shared" si="6"/>
        <v>0</v>
      </c>
      <c r="U47" s="11" t="str">
        <f t="shared" si="7"/>
        <v>#DIV/0!</v>
      </c>
      <c r="V47" s="10">
        <f t="shared" si="8"/>
        <v>3102</v>
      </c>
      <c r="W47" s="10">
        <f t="shared" si="9"/>
        <v>2532</v>
      </c>
      <c r="X47" s="11">
        <f t="shared" si="10"/>
        <v>1.225118483</v>
      </c>
      <c r="Y47" s="10">
        <f t="shared" ref="Y47:Z47" si="57">S47+V47</f>
        <v>3102</v>
      </c>
      <c r="Z47" s="12">
        <f t="shared" si="57"/>
        <v>2532</v>
      </c>
      <c r="AA47" s="13">
        <f t="shared" si="12"/>
        <v>1.225118483</v>
      </c>
      <c r="AB47" s="14">
        <f t="shared" si="13"/>
        <v>62.93365794</v>
      </c>
      <c r="AC47" s="14"/>
      <c r="AD47" s="14"/>
      <c r="AE47" s="14"/>
    </row>
    <row r="48">
      <c r="A48" s="9" t="s">
        <v>28</v>
      </c>
      <c r="B48" s="9" t="s">
        <v>35</v>
      </c>
      <c r="C48" s="9" t="s">
        <v>30</v>
      </c>
      <c r="D48" s="9" t="s">
        <v>29</v>
      </c>
      <c r="E48" s="10">
        <v>3100.0</v>
      </c>
      <c r="F48" s="10">
        <v>6200.0</v>
      </c>
      <c r="G48" s="10">
        <v>976.0</v>
      </c>
      <c r="H48" s="10">
        <v>712.0</v>
      </c>
      <c r="I48" s="10">
        <v>711.0</v>
      </c>
      <c r="J48" s="10">
        <v>0.0</v>
      </c>
      <c r="K48" s="10">
        <v>2008.0</v>
      </c>
      <c r="L48" s="10">
        <v>0.0</v>
      </c>
      <c r="M48" s="10">
        <v>1426.0</v>
      </c>
      <c r="N48" s="10">
        <v>0.0</v>
      </c>
      <c r="O48" s="10">
        <v>1422.0</v>
      </c>
      <c r="P48" s="10">
        <f t="shared" si="2"/>
        <v>3100</v>
      </c>
      <c r="Q48" s="10">
        <f t="shared" si="3"/>
        <v>977</v>
      </c>
      <c r="R48" s="11">
        <f t="shared" si="4"/>
        <v>31.51612903</v>
      </c>
      <c r="S48" s="11">
        <f t="shared" si="5"/>
        <v>0</v>
      </c>
      <c r="T48" s="11">
        <f t="shared" si="6"/>
        <v>0</v>
      </c>
      <c r="U48" s="11" t="str">
        <f t="shared" si="7"/>
        <v>#DIV/0!</v>
      </c>
      <c r="V48" s="10">
        <f t="shared" si="8"/>
        <v>2012</v>
      </c>
      <c r="W48" s="10">
        <f t="shared" si="9"/>
        <v>1426</v>
      </c>
      <c r="X48" s="11">
        <f t="shared" si="10"/>
        <v>1.410939691</v>
      </c>
      <c r="Y48" s="10">
        <f t="shared" ref="Y48:Z48" si="58">S48+V48</f>
        <v>2012</v>
      </c>
      <c r="Z48" s="12">
        <f t="shared" si="58"/>
        <v>1426</v>
      </c>
      <c r="AA48" s="13">
        <f t="shared" si="12"/>
        <v>1.410939691</v>
      </c>
      <c r="AB48" s="14">
        <f t="shared" si="13"/>
        <v>32.4516129</v>
      </c>
      <c r="AC48" s="14"/>
      <c r="AD48" s="14"/>
      <c r="AE48" s="14"/>
    </row>
    <row r="49">
      <c r="A49" s="9" t="s">
        <v>28</v>
      </c>
      <c r="B49" s="9" t="s">
        <v>35</v>
      </c>
      <c r="C49" s="9" t="s">
        <v>30</v>
      </c>
      <c r="D49" s="9" t="s">
        <v>29</v>
      </c>
      <c r="E49" s="10">
        <v>682.0</v>
      </c>
      <c r="F49" s="10">
        <v>899.0</v>
      </c>
      <c r="G49" s="10">
        <v>243.0</v>
      </c>
      <c r="H49" s="10">
        <v>126.0</v>
      </c>
      <c r="I49" s="10">
        <v>118.0</v>
      </c>
      <c r="J49" s="10">
        <v>0.0</v>
      </c>
      <c r="K49" s="10">
        <v>282.0</v>
      </c>
      <c r="L49" s="10">
        <v>0.0</v>
      </c>
      <c r="M49" s="10">
        <v>155.0</v>
      </c>
      <c r="N49" s="10">
        <v>0.0</v>
      </c>
      <c r="O49" s="10">
        <v>147.0</v>
      </c>
      <c r="P49" s="10">
        <f t="shared" si="2"/>
        <v>682</v>
      </c>
      <c r="Q49" s="10">
        <f t="shared" si="3"/>
        <v>251</v>
      </c>
      <c r="R49" s="11">
        <f t="shared" si="4"/>
        <v>36.80351906</v>
      </c>
      <c r="S49" s="11">
        <f t="shared" si="5"/>
        <v>0</v>
      </c>
      <c r="T49" s="11">
        <f t="shared" si="6"/>
        <v>0</v>
      </c>
      <c r="U49" s="11" t="str">
        <f t="shared" si="7"/>
        <v>#DIV/0!</v>
      </c>
      <c r="V49" s="10">
        <f t="shared" si="8"/>
        <v>290</v>
      </c>
      <c r="W49" s="10">
        <f t="shared" si="9"/>
        <v>155</v>
      </c>
      <c r="X49" s="11">
        <f t="shared" si="10"/>
        <v>1.870967742</v>
      </c>
      <c r="Y49" s="10">
        <f t="shared" ref="Y49:Z49" si="59">S49+V49</f>
        <v>290</v>
      </c>
      <c r="Z49" s="12">
        <f t="shared" si="59"/>
        <v>155</v>
      </c>
      <c r="AA49" s="13">
        <f t="shared" si="12"/>
        <v>1.870967742</v>
      </c>
      <c r="AB49" s="14">
        <f t="shared" si="13"/>
        <v>32.25806452</v>
      </c>
      <c r="AC49" s="14"/>
      <c r="AD49" s="14"/>
      <c r="AE49" s="14"/>
    </row>
    <row r="50">
      <c r="A50" s="9" t="s">
        <v>28</v>
      </c>
      <c r="B50" s="9" t="s">
        <v>35</v>
      </c>
      <c r="C50" s="9" t="s">
        <v>30</v>
      </c>
      <c r="D50" s="9" t="s">
        <v>29</v>
      </c>
      <c r="E50" s="10">
        <v>1922.0</v>
      </c>
      <c r="F50" s="10">
        <v>2976.0</v>
      </c>
      <c r="G50" s="10">
        <v>867.0</v>
      </c>
      <c r="H50" s="10">
        <v>494.0</v>
      </c>
      <c r="I50" s="10">
        <v>485.0</v>
      </c>
      <c r="J50" s="10">
        <v>0.0</v>
      </c>
      <c r="K50" s="10">
        <v>1533.0</v>
      </c>
      <c r="L50" s="10">
        <v>0.0</v>
      </c>
      <c r="M50" s="10">
        <v>890.0</v>
      </c>
      <c r="N50" s="10">
        <v>0.0</v>
      </c>
      <c r="O50" s="10">
        <v>874.0</v>
      </c>
      <c r="P50" s="10">
        <f t="shared" si="2"/>
        <v>1922</v>
      </c>
      <c r="Q50" s="10">
        <f t="shared" si="3"/>
        <v>876</v>
      </c>
      <c r="R50" s="11">
        <f t="shared" si="4"/>
        <v>45.57752341</v>
      </c>
      <c r="S50" s="11">
        <f t="shared" si="5"/>
        <v>0</v>
      </c>
      <c r="T50" s="11">
        <f t="shared" si="6"/>
        <v>0</v>
      </c>
      <c r="U50" s="11" t="str">
        <f t="shared" si="7"/>
        <v>#DIV/0!</v>
      </c>
      <c r="V50" s="10">
        <f t="shared" si="8"/>
        <v>1549</v>
      </c>
      <c r="W50" s="10">
        <f t="shared" si="9"/>
        <v>890</v>
      </c>
      <c r="X50" s="11">
        <f t="shared" si="10"/>
        <v>1.740449438</v>
      </c>
      <c r="Y50" s="10">
        <f t="shared" ref="Y50:Z50" si="60">S50+V50</f>
        <v>1549</v>
      </c>
      <c r="Z50" s="12">
        <f t="shared" si="60"/>
        <v>890</v>
      </c>
      <c r="AA50" s="13">
        <f t="shared" si="12"/>
        <v>1.740449438</v>
      </c>
      <c r="AB50" s="14">
        <f t="shared" si="13"/>
        <v>52.04973118</v>
      </c>
      <c r="AC50" s="14"/>
      <c r="AD50" s="14"/>
      <c r="AE50" s="14"/>
    </row>
    <row r="51">
      <c r="A51" s="9" t="s">
        <v>28</v>
      </c>
      <c r="B51" s="9" t="s">
        <v>35</v>
      </c>
      <c r="C51" s="9" t="s">
        <v>30</v>
      </c>
      <c r="D51" s="9" t="s">
        <v>29</v>
      </c>
      <c r="E51" s="10">
        <v>2666.0</v>
      </c>
      <c r="F51" s="10">
        <v>3782.0</v>
      </c>
      <c r="G51" s="10">
        <v>1070.0</v>
      </c>
      <c r="H51" s="10">
        <v>896.0</v>
      </c>
      <c r="I51" s="10">
        <v>884.0</v>
      </c>
      <c r="J51" s="10">
        <v>0.0</v>
      </c>
      <c r="K51" s="10">
        <v>2140.0</v>
      </c>
      <c r="L51" s="10">
        <v>0.0</v>
      </c>
      <c r="M51" s="10">
        <v>1792.0</v>
      </c>
      <c r="N51" s="10">
        <v>0.0</v>
      </c>
      <c r="O51" s="10">
        <v>1768.0</v>
      </c>
      <c r="P51" s="10">
        <f t="shared" si="2"/>
        <v>2666</v>
      </c>
      <c r="Q51" s="10">
        <f t="shared" si="3"/>
        <v>1082</v>
      </c>
      <c r="R51" s="11">
        <f t="shared" si="4"/>
        <v>40.58514629</v>
      </c>
      <c r="S51" s="11">
        <f t="shared" si="5"/>
        <v>0</v>
      </c>
      <c r="T51" s="11">
        <f t="shared" si="6"/>
        <v>0</v>
      </c>
      <c r="U51" s="11" t="str">
        <f t="shared" si="7"/>
        <v>#DIV/0!</v>
      </c>
      <c r="V51" s="10">
        <f t="shared" si="8"/>
        <v>2164</v>
      </c>
      <c r="W51" s="10">
        <f t="shared" si="9"/>
        <v>1792</v>
      </c>
      <c r="X51" s="11">
        <f t="shared" si="10"/>
        <v>1.207589286</v>
      </c>
      <c r="Y51" s="10">
        <f t="shared" ref="Y51:Z51" si="61">S51+V51</f>
        <v>2164</v>
      </c>
      <c r="Z51" s="12">
        <f t="shared" si="61"/>
        <v>1792</v>
      </c>
      <c r="AA51" s="13">
        <f t="shared" si="12"/>
        <v>1.207589286</v>
      </c>
      <c r="AB51" s="14">
        <f t="shared" si="13"/>
        <v>57.21840296</v>
      </c>
      <c r="AC51" s="14"/>
      <c r="AD51" s="14"/>
      <c r="AE51" s="14"/>
    </row>
    <row r="52">
      <c r="A52" s="9" t="s">
        <v>28</v>
      </c>
      <c r="B52" s="9" t="s">
        <v>35</v>
      </c>
      <c r="C52" s="9" t="s">
        <v>30</v>
      </c>
      <c r="D52" s="9" t="s">
        <v>29</v>
      </c>
      <c r="E52" s="10">
        <v>5208.0</v>
      </c>
      <c r="F52" s="10">
        <v>7316.0</v>
      </c>
      <c r="G52" s="10">
        <v>2635.0</v>
      </c>
      <c r="H52" s="10">
        <v>2533.0</v>
      </c>
      <c r="I52" s="10">
        <v>2546.0</v>
      </c>
      <c r="J52" s="10">
        <v>0.0</v>
      </c>
      <c r="K52" s="10">
        <v>6138.0</v>
      </c>
      <c r="L52" s="10">
        <v>0.0</v>
      </c>
      <c r="M52" s="10">
        <v>4691.0</v>
      </c>
      <c r="N52" s="10">
        <v>0.0</v>
      </c>
      <c r="O52" s="10">
        <v>4730.0</v>
      </c>
      <c r="P52" s="10">
        <f t="shared" si="2"/>
        <v>5208</v>
      </c>
      <c r="Q52" s="10">
        <f t="shared" si="3"/>
        <v>2622</v>
      </c>
      <c r="R52" s="11">
        <f t="shared" si="4"/>
        <v>50.34562212</v>
      </c>
      <c r="S52" s="11">
        <f t="shared" si="5"/>
        <v>0</v>
      </c>
      <c r="T52" s="11">
        <f t="shared" si="6"/>
        <v>0</v>
      </c>
      <c r="U52" s="11" t="str">
        <f t="shared" si="7"/>
        <v>#DIV/0!</v>
      </c>
      <c r="V52" s="10">
        <f t="shared" si="8"/>
        <v>6099</v>
      </c>
      <c r="W52" s="10">
        <f t="shared" si="9"/>
        <v>4691</v>
      </c>
      <c r="X52" s="11">
        <f t="shared" si="10"/>
        <v>1.300149222</v>
      </c>
      <c r="Y52" s="10">
        <f t="shared" ref="Y52:Z52" si="62">S52+V52</f>
        <v>6099</v>
      </c>
      <c r="Z52" s="12">
        <f t="shared" si="62"/>
        <v>4691</v>
      </c>
      <c r="AA52" s="13">
        <f t="shared" si="12"/>
        <v>1.300149222</v>
      </c>
      <c r="AB52" s="14">
        <f t="shared" si="13"/>
        <v>83.3652269</v>
      </c>
      <c r="AC52" s="14"/>
      <c r="AD52" s="14"/>
      <c r="AE52" s="14"/>
    </row>
    <row r="53">
      <c r="A53" s="9" t="s">
        <v>28</v>
      </c>
      <c r="B53" s="9" t="s">
        <v>35</v>
      </c>
      <c r="C53" s="9" t="s">
        <v>30</v>
      </c>
      <c r="D53" s="9" t="s">
        <v>29</v>
      </c>
      <c r="E53" s="10">
        <v>40300.0</v>
      </c>
      <c r="F53" s="10">
        <v>60016.0</v>
      </c>
      <c r="G53" s="10">
        <v>23986.0</v>
      </c>
      <c r="H53" s="10">
        <v>17806.0</v>
      </c>
      <c r="I53" s="10">
        <v>17326.0</v>
      </c>
      <c r="J53" s="10">
        <v>10.0</v>
      </c>
      <c r="K53" s="10">
        <v>47500.0</v>
      </c>
      <c r="L53" s="10">
        <v>10.0</v>
      </c>
      <c r="M53" s="10">
        <v>34481.0</v>
      </c>
      <c r="N53" s="10">
        <v>8.0</v>
      </c>
      <c r="O53" s="10">
        <v>33568.0</v>
      </c>
      <c r="P53" s="10">
        <f t="shared" si="2"/>
        <v>40300</v>
      </c>
      <c r="Q53" s="10">
        <f t="shared" si="3"/>
        <v>24466</v>
      </c>
      <c r="R53" s="11">
        <f t="shared" si="4"/>
        <v>60.70967742</v>
      </c>
      <c r="S53" s="11">
        <f t="shared" si="5"/>
        <v>12</v>
      </c>
      <c r="T53" s="11">
        <f t="shared" si="6"/>
        <v>10</v>
      </c>
      <c r="U53" s="11">
        <f t="shared" si="7"/>
        <v>1.2</v>
      </c>
      <c r="V53" s="10">
        <f t="shared" si="8"/>
        <v>48413</v>
      </c>
      <c r="W53" s="10">
        <f t="shared" si="9"/>
        <v>34481</v>
      </c>
      <c r="X53" s="11">
        <f t="shared" si="10"/>
        <v>1.404048606</v>
      </c>
      <c r="Y53" s="10">
        <f t="shared" ref="Y53:Z53" si="63">S53+V53</f>
        <v>48425</v>
      </c>
      <c r="Z53" s="12">
        <f t="shared" si="63"/>
        <v>34491</v>
      </c>
      <c r="AA53" s="13">
        <f t="shared" si="12"/>
        <v>1.403989447</v>
      </c>
      <c r="AB53" s="14">
        <f t="shared" si="13"/>
        <v>80.68681685</v>
      </c>
      <c r="AC53" s="14"/>
      <c r="AD53" s="14"/>
      <c r="AE53" s="14"/>
    </row>
    <row r="54">
      <c r="A54" s="9" t="s">
        <v>28</v>
      </c>
      <c r="B54" s="9" t="s">
        <v>35</v>
      </c>
      <c r="C54" s="9" t="s">
        <v>30</v>
      </c>
      <c r="D54" s="9" t="s">
        <v>29</v>
      </c>
      <c r="E54" s="10">
        <v>32581.0</v>
      </c>
      <c r="F54" s="10">
        <v>46624.0</v>
      </c>
      <c r="G54" s="10">
        <v>18406.0</v>
      </c>
      <c r="H54" s="10">
        <v>12713.0</v>
      </c>
      <c r="I54" s="10">
        <v>12371.0</v>
      </c>
      <c r="J54" s="10">
        <v>75.0</v>
      </c>
      <c r="K54" s="10">
        <v>34621.0</v>
      </c>
      <c r="L54" s="10">
        <v>61.0</v>
      </c>
      <c r="M54" s="10">
        <v>23625.0</v>
      </c>
      <c r="N54" s="10">
        <v>62.0</v>
      </c>
      <c r="O54" s="10">
        <v>22948.0</v>
      </c>
      <c r="P54" s="10">
        <f t="shared" si="2"/>
        <v>32581</v>
      </c>
      <c r="Q54" s="10">
        <f t="shared" si="3"/>
        <v>18748</v>
      </c>
      <c r="R54" s="11">
        <f t="shared" si="4"/>
        <v>57.54273963</v>
      </c>
      <c r="S54" s="11">
        <f t="shared" si="5"/>
        <v>74</v>
      </c>
      <c r="T54" s="11">
        <f t="shared" si="6"/>
        <v>61</v>
      </c>
      <c r="U54" s="11">
        <f t="shared" si="7"/>
        <v>1.213114754</v>
      </c>
      <c r="V54" s="10">
        <f t="shared" si="8"/>
        <v>35298</v>
      </c>
      <c r="W54" s="10">
        <f t="shared" si="9"/>
        <v>23625</v>
      </c>
      <c r="X54" s="11">
        <f t="shared" si="10"/>
        <v>1.494095238</v>
      </c>
      <c r="Y54" s="10">
        <f t="shared" ref="Y54:Z54" si="64">S54+V54</f>
        <v>35372</v>
      </c>
      <c r="Z54" s="12">
        <f t="shared" si="64"/>
        <v>23686</v>
      </c>
      <c r="AA54" s="13">
        <f t="shared" si="12"/>
        <v>1.493371612</v>
      </c>
      <c r="AB54" s="14">
        <f t="shared" si="13"/>
        <v>75.86650652</v>
      </c>
      <c r="AC54" s="14"/>
      <c r="AD54" s="14"/>
      <c r="AE54" s="14"/>
    </row>
    <row r="55">
      <c r="A55" s="9" t="s">
        <v>28</v>
      </c>
      <c r="B55" s="9" t="s">
        <v>35</v>
      </c>
      <c r="C55" s="9" t="s">
        <v>30</v>
      </c>
      <c r="D55" s="9" t="s">
        <v>29</v>
      </c>
      <c r="E55" s="10">
        <v>1054.0</v>
      </c>
      <c r="F55" s="10">
        <v>1891.0</v>
      </c>
      <c r="G55" s="10">
        <v>552.0</v>
      </c>
      <c r="H55" s="10">
        <v>547.0</v>
      </c>
      <c r="I55" s="10">
        <v>552.0</v>
      </c>
      <c r="J55" s="10">
        <v>0.0</v>
      </c>
      <c r="K55" s="10">
        <v>1104.0</v>
      </c>
      <c r="L55" s="10">
        <v>0.0</v>
      </c>
      <c r="M55" s="10">
        <v>1094.0</v>
      </c>
      <c r="N55" s="10">
        <v>0.0</v>
      </c>
      <c r="O55" s="10">
        <v>1104.0</v>
      </c>
      <c r="P55" s="10">
        <f t="shared" si="2"/>
        <v>1054</v>
      </c>
      <c r="Q55" s="10">
        <f t="shared" si="3"/>
        <v>547</v>
      </c>
      <c r="R55" s="11">
        <f t="shared" si="4"/>
        <v>51.89753321</v>
      </c>
      <c r="S55" s="11">
        <f t="shared" si="5"/>
        <v>0</v>
      </c>
      <c r="T55" s="11">
        <f t="shared" si="6"/>
        <v>0</v>
      </c>
      <c r="U55" s="11" t="str">
        <f t="shared" si="7"/>
        <v>#DIV/0!</v>
      </c>
      <c r="V55" s="10">
        <f t="shared" si="8"/>
        <v>1094</v>
      </c>
      <c r="W55" s="10">
        <f t="shared" si="9"/>
        <v>1094</v>
      </c>
      <c r="X55" s="11">
        <f t="shared" si="10"/>
        <v>1</v>
      </c>
      <c r="Y55" s="10">
        <f t="shared" ref="Y55:Z55" si="65">S55+V55</f>
        <v>1094</v>
      </c>
      <c r="Z55" s="12">
        <f t="shared" si="65"/>
        <v>1094</v>
      </c>
      <c r="AA55" s="13">
        <f t="shared" si="12"/>
        <v>1</v>
      </c>
      <c r="AB55" s="14">
        <f t="shared" si="13"/>
        <v>57.85298784</v>
      </c>
      <c r="AC55" s="14"/>
      <c r="AD55" s="14"/>
      <c r="AE55" s="14"/>
    </row>
    <row r="56">
      <c r="A56" s="9" t="s">
        <v>28</v>
      </c>
      <c r="B56" s="9" t="s">
        <v>36</v>
      </c>
      <c r="C56" s="9" t="s">
        <v>30</v>
      </c>
      <c r="D56" s="9" t="s">
        <v>29</v>
      </c>
      <c r="E56" s="10">
        <v>2250.0</v>
      </c>
      <c r="F56" s="10">
        <v>4770.0</v>
      </c>
      <c r="G56" s="10">
        <v>368.0</v>
      </c>
      <c r="H56" s="10">
        <v>359.0</v>
      </c>
      <c r="I56" s="10">
        <v>368.0</v>
      </c>
      <c r="J56" s="10">
        <v>0.0</v>
      </c>
      <c r="K56" s="10">
        <v>633.0</v>
      </c>
      <c r="L56" s="10">
        <v>0.0</v>
      </c>
      <c r="M56" s="10">
        <v>617.0</v>
      </c>
      <c r="N56" s="10">
        <v>0.0</v>
      </c>
      <c r="O56" s="10">
        <v>633.0</v>
      </c>
      <c r="P56" s="10">
        <f t="shared" si="2"/>
        <v>2250</v>
      </c>
      <c r="Q56" s="10">
        <f t="shared" si="3"/>
        <v>359</v>
      </c>
      <c r="R56" s="11">
        <f t="shared" si="4"/>
        <v>15.95555556</v>
      </c>
      <c r="S56" s="11">
        <f t="shared" si="5"/>
        <v>0</v>
      </c>
      <c r="T56" s="11">
        <f t="shared" si="6"/>
        <v>0</v>
      </c>
      <c r="U56" s="11" t="str">
        <f t="shared" si="7"/>
        <v>#DIV/0!</v>
      </c>
      <c r="V56" s="10">
        <f t="shared" si="8"/>
        <v>617</v>
      </c>
      <c r="W56" s="10">
        <f t="shared" si="9"/>
        <v>617</v>
      </c>
      <c r="X56" s="11">
        <f t="shared" si="10"/>
        <v>1</v>
      </c>
      <c r="Y56" s="10">
        <f t="shared" ref="Y56:Z56" si="66">S56+V56</f>
        <v>617</v>
      </c>
      <c r="Z56" s="12">
        <f t="shared" si="66"/>
        <v>617</v>
      </c>
      <c r="AA56" s="13">
        <f t="shared" si="12"/>
        <v>1</v>
      </c>
      <c r="AB56" s="14">
        <f t="shared" si="13"/>
        <v>12.93501048</v>
      </c>
      <c r="AC56" s="14"/>
      <c r="AD56" s="14"/>
      <c r="AE56" s="14"/>
    </row>
    <row r="57">
      <c r="A57" s="9" t="s">
        <v>28</v>
      </c>
      <c r="B57" s="9" t="s">
        <v>36</v>
      </c>
      <c r="C57" s="9" t="s">
        <v>30</v>
      </c>
      <c r="D57" s="9" t="s">
        <v>29</v>
      </c>
      <c r="E57" s="10">
        <v>3000.0</v>
      </c>
      <c r="F57" s="10">
        <v>6000.0</v>
      </c>
      <c r="G57" s="10">
        <v>670.0</v>
      </c>
      <c r="H57" s="10">
        <v>452.0</v>
      </c>
      <c r="I57" s="10">
        <v>439.0</v>
      </c>
      <c r="J57" s="10">
        <v>0.0</v>
      </c>
      <c r="K57" s="10">
        <v>1308.0</v>
      </c>
      <c r="L57" s="10">
        <v>0.0</v>
      </c>
      <c r="M57" s="10">
        <v>902.0</v>
      </c>
      <c r="N57" s="10">
        <v>0.0</v>
      </c>
      <c r="O57" s="10">
        <v>878.0</v>
      </c>
      <c r="P57" s="10">
        <f t="shared" si="2"/>
        <v>3000</v>
      </c>
      <c r="Q57" s="10">
        <f t="shared" si="3"/>
        <v>683</v>
      </c>
      <c r="R57" s="11">
        <f t="shared" si="4"/>
        <v>22.76666667</v>
      </c>
      <c r="S57" s="11">
        <f t="shared" si="5"/>
        <v>0</v>
      </c>
      <c r="T57" s="11">
        <f t="shared" si="6"/>
        <v>0</v>
      </c>
      <c r="U57" s="11" t="str">
        <f t="shared" si="7"/>
        <v>#DIV/0!</v>
      </c>
      <c r="V57" s="10">
        <f t="shared" si="8"/>
        <v>1332</v>
      </c>
      <c r="W57" s="10">
        <f t="shared" si="9"/>
        <v>902</v>
      </c>
      <c r="X57" s="11">
        <f t="shared" si="10"/>
        <v>1.476718404</v>
      </c>
      <c r="Y57" s="10">
        <f t="shared" ref="Y57:Z57" si="67">S57+V57</f>
        <v>1332</v>
      </c>
      <c r="Z57" s="12">
        <f t="shared" si="67"/>
        <v>902</v>
      </c>
      <c r="AA57" s="13">
        <f t="shared" si="12"/>
        <v>1.476718404</v>
      </c>
      <c r="AB57" s="14">
        <f t="shared" si="13"/>
        <v>22.2</v>
      </c>
      <c r="AC57" s="14"/>
      <c r="AD57" s="14"/>
      <c r="AE57" s="14"/>
    </row>
    <row r="58">
      <c r="A58" s="9" t="s">
        <v>28</v>
      </c>
      <c r="B58" s="9" t="s">
        <v>36</v>
      </c>
      <c r="C58" s="9" t="s">
        <v>30</v>
      </c>
      <c r="D58" s="9" t="s">
        <v>29</v>
      </c>
      <c r="E58" s="10">
        <v>660.0</v>
      </c>
      <c r="F58" s="10">
        <v>870.0</v>
      </c>
      <c r="G58" s="10">
        <v>157.0</v>
      </c>
      <c r="H58" s="10">
        <v>67.0</v>
      </c>
      <c r="I58" s="10">
        <v>77.0</v>
      </c>
      <c r="J58" s="10">
        <v>0.0</v>
      </c>
      <c r="K58" s="10">
        <v>195.0</v>
      </c>
      <c r="L58" s="10">
        <v>0.0</v>
      </c>
      <c r="M58" s="10">
        <v>90.0</v>
      </c>
      <c r="N58" s="10">
        <v>0.0</v>
      </c>
      <c r="O58" s="10">
        <v>100.0</v>
      </c>
      <c r="P58" s="10">
        <f t="shared" si="2"/>
        <v>660</v>
      </c>
      <c r="Q58" s="10">
        <f t="shared" si="3"/>
        <v>147</v>
      </c>
      <c r="R58" s="11">
        <f t="shared" si="4"/>
        <v>22.27272727</v>
      </c>
      <c r="S58" s="11">
        <f t="shared" si="5"/>
        <v>0</v>
      </c>
      <c r="T58" s="11">
        <f t="shared" si="6"/>
        <v>0</v>
      </c>
      <c r="U58" s="11" t="str">
        <f t="shared" si="7"/>
        <v>#DIV/0!</v>
      </c>
      <c r="V58" s="10">
        <f t="shared" si="8"/>
        <v>185</v>
      </c>
      <c r="W58" s="10">
        <f t="shared" si="9"/>
        <v>90</v>
      </c>
      <c r="X58" s="11">
        <f t="shared" si="10"/>
        <v>2.055555556</v>
      </c>
      <c r="Y58" s="10">
        <f t="shared" ref="Y58:Z58" si="68">S58+V58</f>
        <v>185</v>
      </c>
      <c r="Z58" s="12">
        <f t="shared" si="68"/>
        <v>90</v>
      </c>
      <c r="AA58" s="13">
        <f t="shared" si="12"/>
        <v>2.055555556</v>
      </c>
      <c r="AB58" s="14">
        <f t="shared" si="13"/>
        <v>21.26436782</v>
      </c>
      <c r="AC58" s="14"/>
      <c r="AD58" s="14"/>
      <c r="AE58" s="14"/>
    </row>
    <row r="59">
      <c r="A59" s="9" t="s">
        <v>28</v>
      </c>
      <c r="B59" s="9" t="s">
        <v>36</v>
      </c>
      <c r="C59" s="9" t="s">
        <v>30</v>
      </c>
      <c r="D59" s="9" t="s">
        <v>29</v>
      </c>
      <c r="E59" s="10">
        <v>1860.0</v>
      </c>
      <c r="F59" s="10">
        <v>2880.0</v>
      </c>
      <c r="G59" s="10">
        <v>745.0</v>
      </c>
      <c r="H59" s="10">
        <v>348.0</v>
      </c>
      <c r="I59" s="10">
        <v>348.0</v>
      </c>
      <c r="J59" s="10">
        <v>0.0</v>
      </c>
      <c r="K59" s="10">
        <v>1296.0</v>
      </c>
      <c r="L59" s="10">
        <v>0.0</v>
      </c>
      <c r="M59" s="10">
        <v>626.0</v>
      </c>
      <c r="N59" s="10">
        <v>0.0</v>
      </c>
      <c r="O59" s="10">
        <v>627.0</v>
      </c>
      <c r="P59" s="10">
        <f t="shared" si="2"/>
        <v>1860</v>
      </c>
      <c r="Q59" s="10">
        <f t="shared" si="3"/>
        <v>745</v>
      </c>
      <c r="R59" s="11">
        <f t="shared" si="4"/>
        <v>40.05376344</v>
      </c>
      <c r="S59" s="11">
        <f t="shared" si="5"/>
        <v>0</v>
      </c>
      <c r="T59" s="11">
        <f t="shared" si="6"/>
        <v>0</v>
      </c>
      <c r="U59" s="11" t="str">
        <f t="shared" si="7"/>
        <v>#DIV/0!</v>
      </c>
      <c r="V59" s="10">
        <f t="shared" si="8"/>
        <v>1295</v>
      </c>
      <c r="W59" s="10">
        <f t="shared" si="9"/>
        <v>626</v>
      </c>
      <c r="X59" s="11">
        <f t="shared" si="10"/>
        <v>2.068690096</v>
      </c>
      <c r="Y59" s="10">
        <f t="shared" ref="Y59:Z59" si="69">S59+V59</f>
        <v>1295</v>
      </c>
      <c r="Z59" s="12">
        <f t="shared" si="69"/>
        <v>626</v>
      </c>
      <c r="AA59" s="13">
        <f t="shared" si="12"/>
        <v>2.068690096</v>
      </c>
      <c r="AB59" s="14">
        <f t="shared" si="13"/>
        <v>44.96527778</v>
      </c>
      <c r="AC59" s="14"/>
      <c r="AD59" s="14"/>
      <c r="AE59" s="14"/>
    </row>
    <row r="60">
      <c r="A60" s="9" t="s">
        <v>28</v>
      </c>
      <c r="B60" s="9" t="s">
        <v>36</v>
      </c>
      <c r="C60" s="9" t="s">
        <v>30</v>
      </c>
      <c r="D60" s="9" t="s">
        <v>29</v>
      </c>
      <c r="E60" s="10">
        <v>2580.0</v>
      </c>
      <c r="F60" s="10">
        <v>3660.0</v>
      </c>
      <c r="G60" s="10">
        <v>658.0</v>
      </c>
      <c r="H60" s="10">
        <v>600.0</v>
      </c>
      <c r="I60" s="10">
        <v>602.0</v>
      </c>
      <c r="J60" s="10">
        <v>0.0</v>
      </c>
      <c r="K60" s="10">
        <v>1316.0</v>
      </c>
      <c r="L60" s="10">
        <v>0.0</v>
      </c>
      <c r="M60" s="10">
        <v>1200.0</v>
      </c>
      <c r="N60" s="10">
        <v>0.0</v>
      </c>
      <c r="O60" s="10">
        <v>1204.0</v>
      </c>
      <c r="P60" s="10">
        <f t="shared" si="2"/>
        <v>2580</v>
      </c>
      <c r="Q60" s="10">
        <f t="shared" si="3"/>
        <v>656</v>
      </c>
      <c r="R60" s="11">
        <f t="shared" si="4"/>
        <v>25.42635659</v>
      </c>
      <c r="S60" s="11">
        <f t="shared" si="5"/>
        <v>0</v>
      </c>
      <c r="T60" s="11">
        <f t="shared" si="6"/>
        <v>0</v>
      </c>
      <c r="U60" s="11" t="str">
        <f t="shared" si="7"/>
        <v>#DIV/0!</v>
      </c>
      <c r="V60" s="10">
        <f t="shared" si="8"/>
        <v>1312</v>
      </c>
      <c r="W60" s="10">
        <f t="shared" si="9"/>
        <v>1200</v>
      </c>
      <c r="X60" s="11">
        <f t="shared" si="10"/>
        <v>1.093333333</v>
      </c>
      <c r="Y60" s="10">
        <f t="shared" ref="Y60:Z60" si="70">S60+V60</f>
        <v>1312</v>
      </c>
      <c r="Z60" s="12">
        <f t="shared" si="70"/>
        <v>1200</v>
      </c>
      <c r="AA60" s="13">
        <f t="shared" si="12"/>
        <v>1.093333333</v>
      </c>
      <c r="AB60" s="14">
        <f t="shared" si="13"/>
        <v>35.84699454</v>
      </c>
      <c r="AC60" s="14"/>
      <c r="AD60" s="14"/>
      <c r="AE60" s="14"/>
    </row>
    <row r="61">
      <c r="A61" s="9" t="s">
        <v>28</v>
      </c>
      <c r="B61" s="9" t="s">
        <v>36</v>
      </c>
      <c r="C61" s="9" t="s">
        <v>30</v>
      </c>
      <c r="D61" s="9" t="s">
        <v>29</v>
      </c>
      <c r="E61" s="10">
        <v>5040.0</v>
      </c>
      <c r="F61" s="10">
        <v>7080.0</v>
      </c>
      <c r="G61" s="10">
        <v>1663.0</v>
      </c>
      <c r="H61" s="10">
        <v>1464.0</v>
      </c>
      <c r="I61" s="10">
        <v>1454.0</v>
      </c>
      <c r="J61" s="10">
        <v>0.0</v>
      </c>
      <c r="K61" s="10">
        <v>3080.0</v>
      </c>
      <c r="L61" s="10">
        <v>0.0</v>
      </c>
      <c r="M61" s="10">
        <v>2717.0</v>
      </c>
      <c r="N61" s="10">
        <v>0.0</v>
      </c>
      <c r="O61" s="10">
        <v>2681.0</v>
      </c>
      <c r="P61" s="10">
        <f t="shared" si="2"/>
        <v>5040</v>
      </c>
      <c r="Q61" s="10">
        <f t="shared" si="3"/>
        <v>1673</v>
      </c>
      <c r="R61" s="11">
        <f t="shared" si="4"/>
        <v>33.19444444</v>
      </c>
      <c r="S61" s="11">
        <f t="shared" si="5"/>
        <v>0</v>
      </c>
      <c r="T61" s="11">
        <f t="shared" si="6"/>
        <v>0</v>
      </c>
      <c r="U61" s="11" t="str">
        <f t="shared" si="7"/>
        <v>#DIV/0!</v>
      </c>
      <c r="V61" s="10">
        <f t="shared" si="8"/>
        <v>3116</v>
      </c>
      <c r="W61" s="10">
        <f t="shared" si="9"/>
        <v>2717</v>
      </c>
      <c r="X61" s="11">
        <f t="shared" si="10"/>
        <v>1.146853147</v>
      </c>
      <c r="Y61" s="10">
        <f t="shared" ref="Y61:Z61" si="71">S61+V61</f>
        <v>3116</v>
      </c>
      <c r="Z61" s="12">
        <f t="shared" si="71"/>
        <v>2717</v>
      </c>
      <c r="AA61" s="13">
        <f t="shared" si="12"/>
        <v>1.146853147</v>
      </c>
      <c r="AB61" s="14">
        <f t="shared" si="13"/>
        <v>44.01129944</v>
      </c>
      <c r="AC61" s="14"/>
      <c r="AD61" s="14"/>
      <c r="AE61" s="14"/>
    </row>
    <row r="62">
      <c r="A62" s="9" t="s">
        <v>28</v>
      </c>
      <c r="B62" s="9" t="s">
        <v>36</v>
      </c>
      <c r="C62" s="9" t="s">
        <v>30</v>
      </c>
      <c r="D62" s="9" t="s">
        <v>29</v>
      </c>
      <c r="E62" s="10">
        <v>39000.0</v>
      </c>
      <c r="F62" s="10">
        <v>58080.0</v>
      </c>
      <c r="G62" s="10">
        <v>18807.0</v>
      </c>
      <c r="H62" s="10">
        <v>11438.0</v>
      </c>
      <c r="I62" s="10">
        <v>11525.0</v>
      </c>
      <c r="J62" s="10">
        <v>23.0</v>
      </c>
      <c r="K62" s="10">
        <v>36936.0</v>
      </c>
      <c r="L62" s="10">
        <v>10.0</v>
      </c>
      <c r="M62" s="10">
        <v>22394.0</v>
      </c>
      <c r="N62" s="10">
        <v>11.0</v>
      </c>
      <c r="O62" s="10">
        <v>22572.0</v>
      </c>
      <c r="P62" s="10">
        <f t="shared" si="2"/>
        <v>39000</v>
      </c>
      <c r="Q62" s="10">
        <f t="shared" si="3"/>
        <v>18720</v>
      </c>
      <c r="R62" s="11">
        <f t="shared" si="4"/>
        <v>48</v>
      </c>
      <c r="S62" s="11">
        <f t="shared" si="5"/>
        <v>22</v>
      </c>
      <c r="T62" s="11">
        <f t="shared" si="6"/>
        <v>10</v>
      </c>
      <c r="U62" s="11">
        <f t="shared" si="7"/>
        <v>2.2</v>
      </c>
      <c r="V62" s="10">
        <f t="shared" si="8"/>
        <v>36758</v>
      </c>
      <c r="W62" s="10">
        <f t="shared" si="9"/>
        <v>22394</v>
      </c>
      <c r="X62" s="11">
        <f t="shared" si="10"/>
        <v>1.641421809</v>
      </c>
      <c r="Y62" s="10">
        <f t="shared" ref="Y62:Z62" si="72">S62+V62</f>
        <v>36780</v>
      </c>
      <c r="Z62" s="12">
        <f t="shared" si="72"/>
        <v>22404</v>
      </c>
      <c r="AA62" s="13">
        <f t="shared" si="12"/>
        <v>1.64167113</v>
      </c>
      <c r="AB62" s="14">
        <f t="shared" si="13"/>
        <v>63.32644628</v>
      </c>
      <c r="AC62" s="14"/>
      <c r="AD62" s="14"/>
      <c r="AE62" s="14"/>
    </row>
    <row r="63">
      <c r="A63" s="9" t="s">
        <v>28</v>
      </c>
      <c r="B63" s="9" t="s">
        <v>36</v>
      </c>
      <c r="C63" s="9" t="s">
        <v>30</v>
      </c>
      <c r="D63" s="9" t="s">
        <v>29</v>
      </c>
      <c r="E63" s="10">
        <v>31530.0</v>
      </c>
      <c r="F63" s="10">
        <v>45120.0</v>
      </c>
      <c r="G63" s="10">
        <v>13357.0</v>
      </c>
      <c r="H63" s="10">
        <v>8095.0</v>
      </c>
      <c r="I63" s="10">
        <v>8116.0</v>
      </c>
      <c r="J63" s="10">
        <v>104.0</v>
      </c>
      <c r="K63" s="10">
        <v>23874.0</v>
      </c>
      <c r="L63" s="10">
        <v>50.0</v>
      </c>
      <c r="M63" s="10">
        <v>15159.0</v>
      </c>
      <c r="N63" s="10">
        <v>51.0</v>
      </c>
      <c r="O63" s="10">
        <v>15153.0</v>
      </c>
      <c r="P63" s="10">
        <f t="shared" si="2"/>
        <v>31530</v>
      </c>
      <c r="Q63" s="10">
        <f t="shared" si="3"/>
        <v>13336</v>
      </c>
      <c r="R63" s="11">
        <f t="shared" si="4"/>
        <v>42.29622582</v>
      </c>
      <c r="S63" s="11">
        <f t="shared" si="5"/>
        <v>103</v>
      </c>
      <c r="T63" s="11">
        <f t="shared" si="6"/>
        <v>50</v>
      </c>
      <c r="U63" s="11">
        <f t="shared" si="7"/>
        <v>2.06</v>
      </c>
      <c r="V63" s="10">
        <f t="shared" si="8"/>
        <v>23880</v>
      </c>
      <c r="W63" s="10">
        <f t="shared" si="9"/>
        <v>15159</v>
      </c>
      <c r="X63" s="11">
        <f t="shared" si="10"/>
        <v>1.575301801</v>
      </c>
      <c r="Y63" s="10">
        <f t="shared" ref="Y63:Z63" si="73">S63+V63</f>
        <v>23983</v>
      </c>
      <c r="Z63" s="12">
        <f t="shared" si="73"/>
        <v>15209</v>
      </c>
      <c r="AA63" s="13">
        <f t="shared" si="12"/>
        <v>1.576895259</v>
      </c>
      <c r="AB63" s="14">
        <f t="shared" si="13"/>
        <v>53.15381206</v>
      </c>
      <c r="AC63" s="14"/>
      <c r="AD63" s="14"/>
      <c r="AE63" s="14"/>
    </row>
    <row r="64">
      <c r="A64" s="9" t="s">
        <v>28</v>
      </c>
      <c r="B64" s="9" t="s">
        <v>36</v>
      </c>
      <c r="C64" s="9" t="s">
        <v>30</v>
      </c>
      <c r="D64" s="9" t="s">
        <v>29</v>
      </c>
      <c r="E64" s="10">
        <v>1020.0</v>
      </c>
      <c r="F64" s="10">
        <v>1830.0</v>
      </c>
      <c r="G64" s="10">
        <v>366.0</v>
      </c>
      <c r="H64" s="10">
        <v>368.0</v>
      </c>
      <c r="I64" s="10">
        <v>366.0</v>
      </c>
      <c r="J64" s="10">
        <v>0.0</v>
      </c>
      <c r="K64" s="10">
        <v>732.0</v>
      </c>
      <c r="L64" s="10">
        <v>0.0</v>
      </c>
      <c r="M64" s="10">
        <v>736.0</v>
      </c>
      <c r="N64" s="10">
        <v>0.0</v>
      </c>
      <c r="O64" s="10">
        <v>732.0</v>
      </c>
      <c r="P64" s="10">
        <f t="shared" si="2"/>
        <v>1020</v>
      </c>
      <c r="Q64" s="10">
        <f t="shared" si="3"/>
        <v>368</v>
      </c>
      <c r="R64" s="11">
        <f t="shared" si="4"/>
        <v>36.07843137</v>
      </c>
      <c r="S64" s="11">
        <f t="shared" si="5"/>
        <v>0</v>
      </c>
      <c r="T64" s="11">
        <f t="shared" si="6"/>
        <v>0</v>
      </c>
      <c r="U64" s="11" t="str">
        <f t="shared" si="7"/>
        <v>#DIV/0!</v>
      </c>
      <c r="V64" s="10">
        <f t="shared" si="8"/>
        <v>736</v>
      </c>
      <c r="W64" s="10">
        <f t="shared" si="9"/>
        <v>736</v>
      </c>
      <c r="X64" s="11">
        <f t="shared" si="10"/>
        <v>1</v>
      </c>
      <c r="Y64" s="10">
        <f t="shared" ref="Y64:Z64" si="74">S64+V64</f>
        <v>736</v>
      </c>
      <c r="Z64" s="12">
        <f t="shared" si="74"/>
        <v>736</v>
      </c>
      <c r="AA64" s="13">
        <f t="shared" si="12"/>
        <v>1</v>
      </c>
      <c r="AB64" s="14">
        <f t="shared" si="13"/>
        <v>40.21857923</v>
      </c>
      <c r="AC64" s="14"/>
      <c r="AD64" s="14"/>
      <c r="AE64" s="14"/>
    </row>
    <row r="65">
      <c r="A65" s="9" t="s">
        <v>28</v>
      </c>
      <c r="B65" s="9" t="s">
        <v>37</v>
      </c>
      <c r="C65" s="9" t="s">
        <v>30</v>
      </c>
      <c r="D65" s="9" t="s">
        <v>29</v>
      </c>
      <c r="E65" s="10">
        <v>2542.0</v>
      </c>
      <c r="F65" s="10">
        <v>5921.0</v>
      </c>
      <c r="G65" s="10">
        <v>1658.0</v>
      </c>
      <c r="H65" s="10">
        <v>1661.0</v>
      </c>
      <c r="I65" s="10">
        <v>1646.0</v>
      </c>
      <c r="J65" s="10">
        <v>0.0</v>
      </c>
      <c r="K65" s="10">
        <v>3316.0</v>
      </c>
      <c r="L65" s="10">
        <v>0.0</v>
      </c>
      <c r="M65" s="10">
        <v>3322.0</v>
      </c>
      <c r="N65" s="10">
        <v>0.0</v>
      </c>
      <c r="O65" s="10">
        <v>3292.0</v>
      </c>
      <c r="P65" s="10">
        <f t="shared" si="2"/>
        <v>2542</v>
      </c>
      <c r="Q65" s="10">
        <f t="shared" si="3"/>
        <v>1673</v>
      </c>
      <c r="R65" s="11">
        <f t="shared" si="4"/>
        <v>65.81431943</v>
      </c>
      <c r="S65" s="11">
        <f t="shared" si="5"/>
        <v>0</v>
      </c>
      <c r="T65" s="11">
        <f t="shared" si="6"/>
        <v>0</v>
      </c>
      <c r="U65" s="11" t="str">
        <f t="shared" si="7"/>
        <v>#DIV/0!</v>
      </c>
      <c r="V65" s="10">
        <f t="shared" si="8"/>
        <v>3346</v>
      </c>
      <c r="W65" s="10">
        <f t="shared" si="9"/>
        <v>3322</v>
      </c>
      <c r="X65" s="11">
        <f t="shared" si="10"/>
        <v>1.007224564</v>
      </c>
      <c r="Y65" s="10">
        <f t="shared" ref="Y65:Z65" si="75">S65+V65</f>
        <v>3346</v>
      </c>
      <c r="Z65" s="12">
        <f t="shared" si="75"/>
        <v>3322</v>
      </c>
      <c r="AA65" s="13">
        <f t="shared" si="12"/>
        <v>1.007224564</v>
      </c>
      <c r="AB65" s="14">
        <f t="shared" si="13"/>
        <v>56.51072454</v>
      </c>
      <c r="AC65" s="14"/>
      <c r="AD65" s="14"/>
      <c r="AE65" s="14"/>
    </row>
    <row r="66">
      <c r="A66" s="9" t="s">
        <v>28</v>
      </c>
      <c r="B66" s="9" t="s">
        <v>37</v>
      </c>
      <c r="C66" s="9" t="s">
        <v>30</v>
      </c>
      <c r="D66" s="9" t="s">
        <v>29</v>
      </c>
      <c r="E66" s="10">
        <v>3100.0</v>
      </c>
      <c r="F66" s="10">
        <v>6200.0</v>
      </c>
      <c r="G66" s="10">
        <v>1720.0</v>
      </c>
      <c r="H66" s="10">
        <v>946.0</v>
      </c>
      <c r="I66" s="10">
        <v>957.0</v>
      </c>
      <c r="J66" s="10">
        <v>0.0</v>
      </c>
      <c r="K66" s="10">
        <v>3440.0</v>
      </c>
      <c r="L66" s="10">
        <v>0.0</v>
      </c>
      <c r="M66" s="10">
        <v>1892.0</v>
      </c>
      <c r="N66" s="10">
        <v>0.0</v>
      </c>
      <c r="O66" s="10">
        <v>1914.0</v>
      </c>
      <c r="P66" s="10">
        <f t="shared" si="2"/>
        <v>3100</v>
      </c>
      <c r="Q66" s="10">
        <f t="shared" si="3"/>
        <v>1709</v>
      </c>
      <c r="R66" s="11">
        <f t="shared" si="4"/>
        <v>55.12903226</v>
      </c>
      <c r="S66" s="11">
        <f t="shared" si="5"/>
        <v>0</v>
      </c>
      <c r="T66" s="11">
        <f t="shared" si="6"/>
        <v>0</v>
      </c>
      <c r="U66" s="11" t="str">
        <f t="shared" si="7"/>
        <v>#DIV/0!</v>
      </c>
      <c r="V66" s="10">
        <f t="shared" si="8"/>
        <v>3418</v>
      </c>
      <c r="W66" s="10">
        <f t="shared" si="9"/>
        <v>1892</v>
      </c>
      <c r="X66" s="11">
        <f t="shared" si="10"/>
        <v>1.806553911</v>
      </c>
      <c r="Y66" s="10">
        <f t="shared" ref="Y66:Z66" si="76">S66+V66</f>
        <v>3418</v>
      </c>
      <c r="Z66" s="12">
        <f t="shared" si="76"/>
        <v>1892</v>
      </c>
      <c r="AA66" s="13">
        <f t="shared" si="12"/>
        <v>1.806553911</v>
      </c>
      <c r="AB66" s="14">
        <f t="shared" si="13"/>
        <v>55.12903226</v>
      </c>
      <c r="AC66" s="14"/>
      <c r="AD66" s="14"/>
      <c r="AE66" s="14"/>
    </row>
    <row r="67">
      <c r="A67" s="9" t="s">
        <v>28</v>
      </c>
      <c r="B67" s="9" t="s">
        <v>37</v>
      </c>
      <c r="C67" s="9" t="s">
        <v>30</v>
      </c>
      <c r="D67" s="9" t="s">
        <v>29</v>
      </c>
      <c r="E67" s="10">
        <v>682.0</v>
      </c>
      <c r="F67" s="10">
        <v>899.0</v>
      </c>
      <c r="G67" s="10">
        <v>84.0</v>
      </c>
      <c r="H67" s="10">
        <v>74.0</v>
      </c>
      <c r="I67" s="10">
        <v>64.0</v>
      </c>
      <c r="J67" s="10">
        <v>0.0</v>
      </c>
      <c r="K67" s="10">
        <v>320.0</v>
      </c>
      <c r="L67" s="10">
        <v>0.0</v>
      </c>
      <c r="M67" s="10">
        <v>131.0</v>
      </c>
      <c r="N67" s="10">
        <v>0.0</v>
      </c>
      <c r="O67" s="10">
        <v>107.0</v>
      </c>
      <c r="P67" s="10">
        <f t="shared" si="2"/>
        <v>682</v>
      </c>
      <c r="Q67" s="10">
        <f t="shared" si="3"/>
        <v>94</v>
      </c>
      <c r="R67" s="11">
        <f t="shared" si="4"/>
        <v>13.7829912</v>
      </c>
      <c r="S67" s="11">
        <f t="shared" si="5"/>
        <v>0</v>
      </c>
      <c r="T67" s="11">
        <f t="shared" si="6"/>
        <v>0</v>
      </c>
      <c r="U67" s="11" t="str">
        <f t="shared" si="7"/>
        <v>#DIV/0!</v>
      </c>
      <c r="V67" s="10">
        <f t="shared" si="8"/>
        <v>344</v>
      </c>
      <c r="W67" s="10">
        <f t="shared" si="9"/>
        <v>131</v>
      </c>
      <c r="X67" s="11">
        <f t="shared" si="10"/>
        <v>2.625954198</v>
      </c>
      <c r="Y67" s="10">
        <f t="shared" ref="Y67:Z67" si="77">S67+V67</f>
        <v>344</v>
      </c>
      <c r="Z67" s="12">
        <f t="shared" si="77"/>
        <v>131</v>
      </c>
      <c r="AA67" s="13">
        <f t="shared" si="12"/>
        <v>2.625954198</v>
      </c>
      <c r="AB67" s="14">
        <f t="shared" si="13"/>
        <v>38.2647386</v>
      </c>
      <c r="AC67" s="14"/>
      <c r="AD67" s="14"/>
      <c r="AE67" s="14"/>
    </row>
    <row r="68">
      <c r="A68" s="9" t="s">
        <v>28</v>
      </c>
      <c r="B68" s="9" t="s">
        <v>37</v>
      </c>
      <c r="C68" s="9" t="s">
        <v>30</v>
      </c>
      <c r="D68" s="9" t="s">
        <v>29</v>
      </c>
      <c r="E68" s="10">
        <v>1922.0</v>
      </c>
      <c r="F68" s="10">
        <v>2976.0</v>
      </c>
      <c r="G68" s="10">
        <v>1255.0</v>
      </c>
      <c r="H68" s="10">
        <v>796.0</v>
      </c>
      <c r="I68" s="10">
        <v>812.0</v>
      </c>
      <c r="J68" s="10">
        <v>0.0</v>
      </c>
      <c r="K68" s="10">
        <v>2313.0</v>
      </c>
      <c r="L68" s="10">
        <v>0.0</v>
      </c>
      <c r="M68" s="10">
        <v>1435.0</v>
      </c>
      <c r="N68" s="10">
        <v>0.0</v>
      </c>
      <c r="O68" s="10">
        <v>1464.0</v>
      </c>
      <c r="P68" s="10">
        <f t="shared" si="2"/>
        <v>1922</v>
      </c>
      <c r="Q68" s="10">
        <f t="shared" si="3"/>
        <v>1239</v>
      </c>
      <c r="R68" s="11">
        <f t="shared" si="4"/>
        <v>64.4640999</v>
      </c>
      <c r="S68" s="11">
        <f t="shared" si="5"/>
        <v>0</v>
      </c>
      <c r="T68" s="11">
        <f t="shared" si="6"/>
        <v>0</v>
      </c>
      <c r="U68" s="11" t="str">
        <f t="shared" si="7"/>
        <v>#DIV/0!</v>
      </c>
      <c r="V68" s="10">
        <f t="shared" si="8"/>
        <v>2284</v>
      </c>
      <c r="W68" s="10">
        <f t="shared" si="9"/>
        <v>1435</v>
      </c>
      <c r="X68" s="11">
        <f t="shared" si="10"/>
        <v>1.591637631</v>
      </c>
      <c r="Y68" s="10">
        <f t="shared" ref="Y68:Z68" si="78">S68+V68</f>
        <v>2284</v>
      </c>
      <c r="Z68" s="12">
        <f t="shared" si="78"/>
        <v>1435</v>
      </c>
      <c r="AA68" s="13">
        <f t="shared" si="12"/>
        <v>1.591637631</v>
      </c>
      <c r="AB68" s="14">
        <f t="shared" si="13"/>
        <v>76.74731183</v>
      </c>
      <c r="AC68" s="14"/>
      <c r="AD68" s="14"/>
      <c r="AE68" s="14"/>
    </row>
    <row r="69">
      <c r="A69" s="9" t="s">
        <v>28</v>
      </c>
      <c r="B69" s="9" t="s">
        <v>37</v>
      </c>
      <c r="C69" s="9" t="s">
        <v>30</v>
      </c>
      <c r="D69" s="9" t="s">
        <v>29</v>
      </c>
      <c r="E69" s="10">
        <v>2666.0</v>
      </c>
      <c r="F69" s="10">
        <v>3782.0</v>
      </c>
      <c r="G69" s="10">
        <v>1219.0</v>
      </c>
      <c r="H69" s="10">
        <v>1072.0</v>
      </c>
      <c r="I69" s="10">
        <v>1069.0</v>
      </c>
      <c r="J69" s="10">
        <v>0.0</v>
      </c>
      <c r="K69" s="10">
        <v>2486.0</v>
      </c>
      <c r="L69" s="10">
        <v>0.0</v>
      </c>
      <c r="M69" s="10">
        <v>2144.0</v>
      </c>
      <c r="N69" s="10">
        <v>0.0</v>
      </c>
      <c r="O69" s="10">
        <v>2136.0</v>
      </c>
      <c r="P69" s="10">
        <f t="shared" si="2"/>
        <v>2666</v>
      </c>
      <c r="Q69" s="10">
        <f t="shared" si="3"/>
        <v>1222</v>
      </c>
      <c r="R69" s="11">
        <f t="shared" si="4"/>
        <v>45.83645911</v>
      </c>
      <c r="S69" s="11">
        <f t="shared" si="5"/>
        <v>0</v>
      </c>
      <c r="T69" s="11">
        <f t="shared" si="6"/>
        <v>0</v>
      </c>
      <c r="U69" s="11" t="str">
        <f t="shared" si="7"/>
        <v>#DIV/0!</v>
      </c>
      <c r="V69" s="10">
        <f t="shared" si="8"/>
        <v>2494</v>
      </c>
      <c r="W69" s="10">
        <f t="shared" si="9"/>
        <v>2144</v>
      </c>
      <c r="X69" s="11">
        <f t="shared" si="10"/>
        <v>1.163246269</v>
      </c>
      <c r="Y69" s="10">
        <f t="shared" ref="Y69:Z69" si="79">S69+V69</f>
        <v>2494</v>
      </c>
      <c r="Z69" s="12">
        <f t="shared" si="79"/>
        <v>2144</v>
      </c>
      <c r="AA69" s="13">
        <f t="shared" si="12"/>
        <v>1.163246269</v>
      </c>
      <c r="AB69" s="14">
        <f t="shared" si="13"/>
        <v>65.943945</v>
      </c>
      <c r="AC69" s="14"/>
      <c r="AD69" s="14"/>
      <c r="AE69" s="14"/>
    </row>
    <row r="70">
      <c r="A70" s="9" t="s">
        <v>28</v>
      </c>
      <c r="B70" s="9" t="s">
        <v>37</v>
      </c>
      <c r="C70" s="9" t="s">
        <v>30</v>
      </c>
      <c r="D70" s="9" t="s">
        <v>29</v>
      </c>
      <c r="E70" s="10">
        <v>5208.0</v>
      </c>
      <c r="F70" s="10">
        <v>7316.0</v>
      </c>
      <c r="G70" s="10">
        <v>3565.0</v>
      </c>
      <c r="H70" s="10">
        <v>2833.0</v>
      </c>
      <c r="I70" s="10">
        <v>2855.0</v>
      </c>
      <c r="J70" s="10">
        <v>0.0</v>
      </c>
      <c r="K70" s="10">
        <v>6970.0</v>
      </c>
      <c r="L70" s="10">
        <v>0.0</v>
      </c>
      <c r="M70" s="10">
        <v>5452.0</v>
      </c>
      <c r="N70" s="10">
        <v>0.0</v>
      </c>
      <c r="O70" s="10">
        <v>5517.0</v>
      </c>
      <c r="P70" s="10">
        <f t="shared" si="2"/>
        <v>5208</v>
      </c>
      <c r="Q70" s="10">
        <f t="shared" si="3"/>
        <v>3543</v>
      </c>
      <c r="R70" s="11">
        <f t="shared" si="4"/>
        <v>68.02995392</v>
      </c>
      <c r="S70" s="11">
        <f t="shared" si="5"/>
        <v>0</v>
      </c>
      <c r="T70" s="11">
        <f t="shared" si="6"/>
        <v>0</v>
      </c>
      <c r="U70" s="11" t="str">
        <f t="shared" si="7"/>
        <v>#DIV/0!</v>
      </c>
      <c r="V70" s="10">
        <f t="shared" si="8"/>
        <v>6905</v>
      </c>
      <c r="W70" s="10">
        <f t="shared" si="9"/>
        <v>5452</v>
      </c>
      <c r="X70" s="11">
        <f t="shared" si="10"/>
        <v>1.266507704</v>
      </c>
      <c r="Y70" s="10">
        <f t="shared" ref="Y70:Z70" si="80">S70+V70</f>
        <v>6905</v>
      </c>
      <c r="Z70" s="12">
        <f t="shared" si="80"/>
        <v>5452</v>
      </c>
      <c r="AA70" s="13">
        <f t="shared" si="12"/>
        <v>1.266507704</v>
      </c>
      <c r="AB70" s="14">
        <f t="shared" si="13"/>
        <v>94.38217605</v>
      </c>
      <c r="AC70" s="14"/>
      <c r="AD70" s="14"/>
      <c r="AE70" s="14"/>
    </row>
    <row r="71">
      <c r="A71" s="9" t="s">
        <v>28</v>
      </c>
      <c r="B71" s="9" t="s">
        <v>37</v>
      </c>
      <c r="C71" s="9" t="s">
        <v>30</v>
      </c>
      <c r="D71" s="9" t="s">
        <v>29</v>
      </c>
      <c r="E71" s="10">
        <v>40300.0</v>
      </c>
      <c r="F71" s="10">
        <v>60016.0</v>
      </c>
      <c r="G71" s="10">
        <v>27895.0</v>
      </c>
      <c r="H71" s="10">
        <v>20710.0</v>
      </c>
      <c r="I71" s="10">
        <v>20710.0</v>
      </c>
      <c r="J71" s="10">
        <v>146.0</v>
      </c>
      <c r="K71" s="10">
        <v>55667.0</v>
      </c>
      <c r="L71" s="10">
        <v>57.0</v>
      </c>
      <c r="M71" s="10">
        <v>38054.0</v>
      </c>
      <c r="N71" s="10">
        <v>56.0</v>
      </c>
      <c r="O71" s="10">
        <v>37528.0</v>
      </c>
      <c r="P71" s="10">
        <f t="shared" si="2"/>
        <v>40300</v>
      </c>
      <c r="Q71" s="10">
        <f t="shared" si="3"/>
        <v>27895</v>
      </c>
      <c r="R71" s="11">
        <f t="shared" si="4"/>
        <v>69.21836228</v>
      </c>
      <c r="S71" s="11">
        <f t="shared" si="5"/>
        <v>147</v>
      </c>
      <c r="T71" s="11">
        <f t="shared" si="6"/>
        <v>57</v>
      </c>
      <c r="U71" s="11">
        <f t="shared" si="7"/>
        <v>2.578947368</v>
      </c>
      <c r="V71" s="10">
        <f t="shared" si="8"/>
        <v>56193</v>
      </c>
      <c r="W71" s="10">
        <f t="shared" si="9"/>
        <v>38054</v>
      </c>
      <c r="X71" s="11">
        <f t="shared" si="10"/>
        <v>1.47666474</v>
      </c>
      <c r="Y71" s="10">
        <f t="shared" ref="Y71:Z71" si="81">S71+V71</f>
        <v>56340</v>
      </c>
      <c r="Z71" s="12">
        <f t="shared" si="81"/>
        <v>38111</v>
      </c>
      <c r="AA71" s="13">
        <f t="shared" si="12"/>
        <v>1.478313348</v>
      </c>
      <c r="AB71" s="14">
        <f t="shared" si="13"/>
        <v>93.87496668</v>
      </c>
      <c r="AC71" s="14"/>
      <c r="AD71" s="14"/>
      <c r="AE71" s="14"/>
    </row>
    <row r="72">
      <c r="A72" s="9" t="s">
        <v>28</v>
      </c>
      <c r="B72" s="9" t="s">
        <v>37</v>
      </c>
      <c r="C72" s="9" t="s">
        <v>30</v>
      </c>
      <c r="D72" s="9" t="s">
        <v>29</v>
      </c>
      <c r="E72" s="10">
        <v>32581.0</v>
      </c>
      <c r="F72" s="10">
        <v>46624.0</v>
      </c>
      <c r="G72" s="10">
        <v>21394.0</v>
      </c>
      <c r="H72" s="10">
        <v>13308.0</v>
      </c>
      <c r="I72" s="10">
        <v>13175.0</v>
      </c>
      <c r="J72" s="10">
        <v>205.0</v>
      </c>
      <c r="K72" s="10">
        <v>41018.0</v>
      </c>
      <c r="L72" s="10">
        <v>108.0</v>
      </c>
      <c r="M72" s="10">
        <v>24235.0</v>
      </c>
      <c r="N72" s="10">
        <v>98.0</v>
      </c>
      <c r="O72" s="10">
        <v>23755.0</v>
      </c>
      <c r="P72" s="10">
        <f t="shared" si="2"/>
        <v>32581</v>
      </c>
      <c r="Q72" s="10">
        <f t="shared" si="3"/>
        <v>21527</v>
      </c>
      <c r="R72" s="11">
        <f t="shared" si="4"/>
        <v>66.0722507</v>
      </c>
      <c r="S72" s="11">
        <f t="shared" si="5"/>
        <v>215</v>
      </c>
      <c r="T72" s="11">
        <f t="shared" si="6"/>
        <v>108</v>
      </c>
      <c r="U72" s="11">
        <f t="shared" si="7"/>
        <v>1.990740741</v>
      </c>
      <c r="V72" s="10">
        <f t="shared" si="8"/>
        <v>41498</v>
      </c>
      <c r="W72" s="10">
        <f t="shared" si="9"/>
        <v>24235</v>
      </c>
      <c r="X72" s="11">
        <f t="shared" si="10"/>
        <v>1.712316897</v>
      </c>
      <c r="Y72" s="10">
        <f t="shared" ref="Y72:Z72" si="82">S72+V72</f>
        <v>41713</v>
      </c>
      <c r="Z72" s="12">
        <f t="shared" si="82"/>
        <v>24343</v>
      </c>
      <c r="AA72" s="13">
        <f t="shared" si="12"/>
        <v>1.713552151</v>
      </c>
      <c r="AB72" s="14">
        <f t="shared" si="13"/>
        <v>89.46679822</v>
      </c>
      <c r="AC72" s="14"/>
      <c r="AD72" s="14"/>
      <c r="AE72" s="14"/>
    </row>
    <row r="73">
      <c r="A73" s="9" t="s">
        <v>28</v>
      </c>
      <c r="B73" s="9" t="s">
        <v>37</v>
      </c>
      <c r="C73" s="9" t="s">
        <v>30</v>
      </c>
      <c r="D73" s="9" t="s">
        <v>29</v>
      </c>
      <c r="E73" s="10">
        <v>1054.0</v>
      </c>
      <c r="F73" s="10">
        <v>1891.0</v>
      </c>
      <c r="G73" s="10">
        <v>579.0</v>
      </c>
      <c r="H73" s="10">
        <v>570.0</v>
      </c>
      <c r="I73" s="10">
        <v>579.0</v>
      </c>
      <c r="J73" s="10">
        <v>0.0</v>
      </c>
      <c r="K73" s="10">
        <v>1158.0</v>
      </c>
      <c r="L73" s="10">
        <v>0.0</v>
      </c>
      <c r="M73" s="10">
        <v>1140.0</v>
      </c>
      <c r="N73" s="10">
        <v>0.0</v>
      </c>
      <c r="O73" s="10">
        <v>1158.0</v>
      </c>
      <c r="P73" s="10">
        <f t="shared" si="2"/>
        <v>1054</v>
      </c>
      <c r="Q73" s="10">
        <f t="shared" si="3"/>
        <v>570</v>
      </c>
      <c r="R73" s="11">
        <f t="shared" si="4"/>
        <v>54.07969639</v>
      </c>
      <c r="S73" s="11">
        <f t="shared" si="5"/>
        <v>0</v>
      </c>
      <c r="T73" s="11">
        <f t="shared" si="6"/>
        <v>0</v>
      </c>
      <c r="U73" s="11" t="str">
        <f t="shared" si="7"/>
        <v>#DIV/0!</v>
      </c>
      <c r="V73" s="10">
        <f t="shared" si="8"/>
        <v>1140</v>
      </c>
      <c r="W73" s="10">
        <f t="shared" si="9"/>
        <v>1140</v>
      </c>
      <c r="X73" s="11">
        <f t="shared" si="10"/>
        <v>1</v>
      </c>
      <c r="Y73" s="10">
        <f t="shared" ref="Y73:Z73" si="83">S73+V73</f>
        <v>1140</v>
      </c>
      <c r="Z73" s="12">
        <f t="shared" si="83"/>
        <v>1140</v>
      </c>
      <c r="AA73" s="13">
        <f t="shared" si="12"/>
        <v>1</v>
      </c>
      <c r="AB73" s="14">
        <f t="shared" si="13"/>
        <v>60.28556319</v>
      </c>
      <c r="AC73" s="14"/>
      <c r="AD73" s="14"/>
      <c r="AE73" s="14"/>
    </row>
    <row r="74">
      <c r="A74" s="9" t="s">
        <v>28</v>
      </c>
      <c r="B74" s="9" t="s">
        <v>38</v>
      </c>
      <c r="C74" s="9" t="s">
        <v>30</v>
      </c>
      <c r="D74" s="9" t="s">
        <v>29</v>
      </c>
      <c r="E74" s="10">
        <v>2460.0</v>
      </c>
      <c r="F74" s="10">
        <v>5760.0</v>
      </c>
      <c r="G74" s="10">
        <v>1386.0</v>
      </c>
      <c r="H74" s="10">
        <v>1424.0</v>
      </c>
      <c r="I74" s="10">
        <v>1386.0</v>
      </c>
      <c r="J74" s="10">
        <v>0.0</v>
      </c>
      <c r="K74" s="10">
        <v>2774.0</v>
      </c>
      <c r="L74" s="10">
        <v>0.0</v>
      </c>
      <c r="M74" s="10">
        <v>2850.0</v>
      </c>
      <c r="N74" s="10">
        <v>0.0</v>
      </c>
      <c r="O74" s="10">
        <v>2774.0</v>
      </c>
      <c r="P74" s="10">
        <f t="shared" si="2"/>
        <v>2460</v>
      </c>
      <c r="Q74" s="10">
        <f t="shared" si="3"/>
        <v>1424</v>
      </c>
      <c r="R74" s="11">
        <f t="shared" si="4"/>
        <v>57.88617886</v>
      </c>
      <c r="S74" s="11">
        <f t="shared" si="5"/>
        <v>0</v>
      </c>
      <c r="T74" s="11">
        <f t="shared" si="6"/>
        <v>0</v>
      </c>
      <c r="U74" s="11" t="str">
        <f t="shared" si="7"/>
        <v>#DIV/0!</v>
      </c>
      <c r="V74" s="10">
        <f t="shared" si="8"/>
        <v>2850</v>
      </c>
      <c r="W74" s="10">
        <f t="shared" si="9"/>
        <v>2850</v>
      </c>
      <c r="X74" s="11">
        <f t="shared" si="10"/>
        <v>1</v>
      </c>
      <c r="Y74" s="10">
        <f t="shared" ref="Y74:Z74" si="84">S74+V74</f>
        <v>2850</v>
      </c>
      <c r="Z74" s="12">
        <f t="shared" si="84"/>
        <v>2850</v>
      </c>
      <c r="AA74" s="13">
        <f t="shared" si="12"/>
        <v>1</v>
      </c>
      <c r="AB74" s="14">
        <f t="shared" si="13"/>
        <v>49.47916667</v>
      </c>
      <c r="AC74" s="14"/>
      <c r="AD74" s="14"/>
      <c r="AE74" s="14"/>
    </row>
    <row r="75">
      <c r="A75" s="9" t="s">
        <v>28</v>
      </c>
      <c r="B75" s="9" t="s">
        <v>38</v>
      </c>
      <c r="C75" s="9" t="s">
        <v>30</v>
      </c>
      <c r="D75" s="9" t="s">
        <v>29</v>
      </c>
      <c r="E75" s="10">
        <v>3000.0</v>
      </c>
      <c r="F75" s="10">
        <v>6000.0</v>
      </c>
      <c r="G75" s="10">
        <v>963.0</v>
      </c>
      <c r="H75" s="10">
        <v>725.0</v>
      </c>
      <c r="I75" s="10">
        <v>729.0</v>
      </c>
      <c r="J75" s="10">
        <v>0.0</v>
      </c>
      <c r="K75" s="10">
        <v>1926.0</v>
      </c>
      <c r="L75" s="10">
        <v>0.0</v>
      </c>
      <c r="M75" s="10">
        <v>1450.0</v>
      </c>
      <c r="N75" s="10">
        <v>0.0</v>
      </c>
      <c r="O75" s="10">
        <v>1458.0</v>
      </c>
      <c r="P75" s="10">
        <f t="shared" si="2"/>
        <v>3000</v>
      </c>
      <c r="Q75" s="10">
        <f t="shared" si="3"/>
        <v>959</v>
      </c>
      <c r="R75" s="11">
        <f t="shared" si="4"/>
        <v>31.96666667</v>
      </c>
      <c r="S75" s="11">
        <f t="shared" si="5"/>
        <v>0</v>
      </c>
      <c r="T75" s="11">
        <f t="shared" si="6"/>
        <v>0</v>
      </c>
      <c r="U75" s="11" t="str">
        <f t="shared" si="7"/>
        <v>#DIV/0!</v>
      </c>
      <c r="V75" s="10">
        <f t="shared" si="8"/>
        <v>1918</v>
      </c>
      <c r="W75" s="10">
        <f t="shared" si="9"/>
        <v>1450</v>
      </c>
      <c r="X75" s="11">
        <f t="shared" si="10"/>
        <v>1.322758621</v>
      </c>
      <c r="Y75" s="10">
        <f t="shared" ref="Y75:Z75" si="85">S75+V75</f>
        <v>1918</v>
      </c>
      <c r="Z75" s="12">
        <f t="shared" si="85"/>
        <v>1450</v>
      </c>
      <c r="AA75" s="13">
        <f t="shared" si="12"/>
        <v>1.322758621</v>
      </c>
      <c r="AB75" s="14">
        <f t="shared" si="13"/>
        <v>31.96666667</v>
      </c>
      <c r="AC75" s="14"/>
      <c r="AD75" s="14"/>
      <c r="AE75" s="14"/>
    </row>
    <row r="76">
      <c r="A76" s="9" t="s">
        <v>28</v>
      </c>
      <c r="B76" s="9" t="s">
        <v>38</v>
      </c>
      <c r="C76" s="9" t="s">
        <v>30</v>
      </c>
      <c r="D76" s="9" t="s">
        <v>29</v>
      </c>
      <c r="E76" s="10">
        <v>660.0</v>
      </c>
      <c r="F76" s="10">
        <v>870.0</v>
      </c>
      <c r="G76" s="10">
        <v>178.0</v>
      </c>
      <c r="H76" s="10">
        <v>132.0</v>
      </c>
      <c r="I76" s="10">
        <v>135.0</v>
      </c>
      <c r="J76" s="10">
        <v>0.0</v>
      </c>
      <c r="K76" s="10">
        <v>285.0</v>
      </c>
      <c r="L76" s="10">
        <v>0.0</v>
      </c>
      <c r="M76" s="10">
        <v>207.0</v>
      </c>
      <c r="N76" s="10">
        <v>0.0</v>
      </c>
      <c r="O76" s="10">
        <v>215.0</v>
      </c>
      <c r="P76" s="10">
        <f t="shared" si="2"/>
        <v>660</v>
      </c>
      <c r="Q76" s="10">
        <f t="shared" si="3"/>
        <v>175</v>
      </c>
      <c r="R76" s="11">
        <f t="shared" si="4"/>
        <v>26.51515152</v>
      </c>
      <c r="S76" s="11">
        <f t="shared" si="5"/>
        <v>0</v>
      </c>
      <c r="T76" s="11">
        <f t="shared" si="6"/>
        <v>0</v>
      </c>
      <c r="U76" s="11" t="str">
        <f t="shared" si="7"/>
        <v>#DIV/0!</v>
      </c>
      <c r="V76" s="10">
        <f t="shared" si="8"/>
        <v>277</v>
      </c>
      <c r="W76" s="10">
        <f t="shared" si="9"/>
        <v>207</v>
      </c>
      <c r="X76" s="11">
        <f t="shared" si="10"/>
        <v>1.338164251</v>
      </c>
      <c r="Y76" s="10">
        <f t="shared" ref="Y76:Z76" si="86">S76+V76</f>
        <v>277</v>
      </c>
      <c r="Z76" s="12">
        <f t="shared" si="86"/>
        <v>207</v>
      </c>
      <c r="AA76" s="13">
        <f t="shared" si="12"/>
        <v>1.338164251</v>
      </c>
      <c r="AB76" s="14">
        <f t="shared" si="13"/>
        <v>31.83908046</v>
      </c>
      <c r="AC76" s="14"/>
      <c r="AD76" s="14"/>
      <c r="AE76" s="14"/>
    </row>
    <row r="77">
      <c r="A77" s="9" t="s">
        <v>28</v>
      </c>
      <c r="B77" s="9" t="s">
        <v>38</v>
      </c>
      <c r="C77" s="9" t="s">
        <v>30</v>
      </c>
      <c r="D77" s="9" t="s">
        <v>29</v>
      </c>
      <c r="E77" s="10">
        <v>1860.0</v>
      </c>
      <c r="F77" s="10">
        <v>3720.0</v>
      </c>
      <c r="G77" s="10">
        <v>1074.0</v>
      </c>
      <c r="H77" s="10">
        <v>645.0</v>
      </c>
      <c r="I77" s="10">
        <v>635.0</v>
      </c>
      <c r="J77" s="10">
        <v>0.0</v>
      </c>
      <c r="K77" s="10">
        <v>2148.0</v>
      </c>
      <c r="L77" s="10">
        <v>0.0</v>
      </c>
      <c r="M77" s="10">
        <v>1290.0</v>
      </c>
      <c r="N77" s="10">
        <v>0.0</v>
      </c>
      <c r="O77" s="10">
        <v>1270.0</v>
      </c>
      <c r="P77" s="10">
        <f t="shared" si="2"/>
        <v>1860</v>
      </c>
      <c r="Q77" s="10">
        <f t="shared" si="3"/>
        <v>1084</v>
      </c>
      <c r="R77" s="11">
        <f t="shared" si="4"/>
        <v>58.27956989</v>
      </c>
      <c r="S77" s="11">
        <f t="shared" si="5"/>
        <v>0</v>
      </c>
      <c r="T77" s="11">
        <f t="shared" si="6"/>
        <v>0</v>
      </c>
      <c r="U77" s="11" t="str">
        <f t="shared" si="7"/>
        <v>#DIV/0!</v>
      </c>
      <c r="V77" s="10">
        <f t="shared" si="8"/>
        <v>2168</v>
      </c>
      <c r="W77" s="10">
        <f t="shared" si="9"/>
        <v>1290</v>
      </c>
      <c r="X77" s="11">
        <f t="shared" si="10"/>
        <v>1.680620155</v>
      </c>
      <c r="Y77" s="10">
        <f t="shared" ref="Y77:Z77" si="87">S77+V77</f>
        <v>2168</v>
      </c>
      <c r="Z77" s="12">
        <f t="shared" si="87"/>
        <v>1290</v>
      </c>
      <c r="AA77" s="13">
        <f t="shared" si="12"/>
        <v>1.680620155</v>
      </c>
      <c r="AB77" s="14">
        <f t="shared" si="13"/>
        <v>58.27956989</v>
      </c>
      <c r="AC77" s="14"/>
      <c r="AD77" s="14"/>
      <c r="AE77" s="14"/>
    </row>
    <row r="78">
      <c r="A78" s="9" t="s">
        <v>28</v>
      </c>
      <c r="B78" s="9" t="s">
        <v>38</v>
      </c>
      <c r="C78" s="9" t="s">
        <v>30</v>
      </c>
      <c r="D78" s="9" t="s">
        <v>29</v>
      </c>
      <c r="E78" s="10">
        <v>2580.0</v>
      </c>
      <c r="F78" s="10">
        <v>3660.0</v>
      </c>
      <c r="G78" s="10">
        <v>898.0</v>
      </c>
      <c r="H78" s="10">
        <v>846.0</v>
      </c>
      <c r="I78" s="10">
        <v>834.0</v>
      </c>
      <c r="J78" s="10">
        <v>0.0</v>
      </c>
      <c r="K78" s="10">
        <v>5540.0</v>
      </c>
      <c r="L78" s="10">
        <v>0.0</v>
      </c>
      <c r="M78" s="10">
        <v>1672.0</v>
      </c>
      <c r="N78" s="10">
        <v>0.0</v>
      </c>
      <c r="O78" s="10">
        <v>1650.0</v>
      </c>
      <c r="P78" s="10">
        <f t="shared" si="2"/>
        <v>2580</v>
      </c>
      <c r="Q78" s="10">
        <f t="shared" si="3"/>
        <v>910</v>
      </c>
      <c r="R78" s="11">
        <f t="shared" si="4"/>
        <v>35.27131783</v>
      </c>
      <c r="S78" s="11">
        <f t="shared" si="5"/>
        <v>0</v>
      </c>
      <c r="T78" s="11">
        <f t="shared" si="6"/>
        <v>0</v>
      </c>
      <c r="U78" s="11" t="str">
        <f t="shared" si="7"/>
        <v>#DIV/0!</v>
      </c>
      <c r="V78" s="10">
        <f t="shared" si="8"/>
        <v>5562</v>
      </c>
      <c r="W78" s="10">
        <f t="shared" si="9"/>
        <v>1672</v>
      </c>
      <c r="X78" s="11">
        <f t="shared" si="10"/>
        <v>3.326555024</v>
      </c>
      <c r="Y78" s="10">
        <f t="shared" ref="Y78:Z78" si="88">S78+V78</f>
        <v>5562</v>
      </c>
      <c r="Z78" s="12">
        <f t="shared" si="88"/>
        <v>1672</v>
      </c>
      <c r="AA78" s="13">
        <f t="shared" si="12"/>
        <v>3.326555024</v>
      </c>
      <c r="AB78" s="14">
        <f t="shared" si="13"/>
        <v>151.9672131</v>
      </c>
      <c r="AC78" s="14"/>
      <c r="AD78" s="14"/>
      <c r="AE78" s="14"/>
    </row>
    <row r="79">
      <c r="A79" s="9" t="s">
        <v>28</v>
      </c>
      <c r="B79" s="9" t="s">
        <v>38</v>
      </c>
      <c r="C79" s="9" t="s">
        <v>30</v>
      </c>
      <c r="D79" s="9" t="s">
        <v>29</v>
      </c>
      <c r="E79" s="10">
        <v>5040.0</v>
      </c>
      <c r="F79" s="10">
        <v>7080.0</v>
      </c>
      <c r="G79" s="10">
        <v>2784.0</v>
      </c>
      <c r="H79" s="10">
        <v>2357.0</v>
      </c>
      <c r="I79" s="10">
        <v>2388.0</v>
      </c>
      <c r="J79" s="10">
        <v>0.0</v>
      </c>
      <c r="K79" s="10">
        <v>6462.0</v>
      </c>
      <c r="L79" s="10">
        <v>0.0</v>
      </c>
      <c r="M79" s="10">
        <v>4420.0</v>
      </c>
      <c r="N79" s="10">
        <v>0.0</v>
      </c>
      <c r="O79" s="10">
        <v>4453.0</v>
      </c>
      <c r="P79" s="10">
        <f t="shared" si="2"/>
        <v>5040</v>
      </c>
      <c r="Q79" s="10">
        <f t="shared" si="3"/>
        <v>2753</v>
      </c>
      <c r="R79" s="11">
        <f t="shared" si="4"/>
        <v>54.62301587</v>
      </c>
      <c r="S79" s="11">
        <f t="shared" si="5"/>
        <v>0</v>
      </c>
      <c r="T79" s="11">
        <f t="shared" si="6"/>
        <v>0</v>
      </c>
      <c r="U79" s="11" t="str">
        <f t="shared" si="7"/>
        <v>#DIV/0!</v>
      </c>
      <c r="V79" s="10">
        <f t="shared" si="8"/>
        <v>6429</v>
      </c>
      <c r="W79" s="10">
        <f t="shared" si="9"/>
        <v>4420</v>
      </c>
      <c r="X79" s="11">
        <f t="shared" si="10"/>
        <v>1.454524887</v>
      </c>
      <c r="Y79" s="10">
        <f t="shared" ref="Y79:Z79" si="89">S79+V79</f>
        <v>6429</v>
      </c>
      <c r="Z79" s="12">
        <f t="shared" si="89"/>
        <v>4420</v>
      </c>
      <c r="AA79" s="13">
        <f t="shared" si="12"/>
        <v>1.454524887</v>
      </c>
      <c r="AB79" s="14">
        <f t="shared" si="13"/>
        <v>90.80508475</v>
      </c>
      <c r="AC79" s="14"/>
      <c r="AD79" s="14"/>
      <c r="AE79" s="14"/>
    </row>
    <row r="80">
      <c r="A80" s="9" t="s">
        <v>28</v>
      </c>
      <c r="B80" s="9" t="s">
        <v>38</v>
      </c>
      <c r="C80" s="9" t="s">
        <v>30</v>
      </c>
      <c r="D80" s="9" t="s">
        <v>29</v>
      </c>
      <c r="E80" s="10">
        <v>39000.0</v>
      </c>
      <c r="F80" s="10">
        <v>58140.0</v>
      </c>
      <c r="G80" s="10">
        <v>23136.0</v>
      </c>
      <c r="H80" s="10">
        <v>17315.0</v>
      </c>
      <c r="I80" s="10">
        <v>17142.0</v>
      </c>
      <c r="J80" s="10">
        <v>80.0</v>
      </c>
      <c r="K80" s="10">
        <v>55454.0</v>
      </c>
      <c r="L80" s="10">
        <v>37.0</v>
      </c>
      <c r="M80" s="10">
        <v>31885.0</v>
      </c>
      <c r="N80" s="10">
        <v>25.0</v>
      </c>
      <c r="O80" s="10">
        <v>30164.0</v>
      </c>
      <c r="P80" s="10">
        <f t="shared" si="2"/>
        <v>39000</v>
      </c>
      <c r="Q80" s="10">
        <f t="shared" si="3"/>
        <v>23309</v>
      </c>
      <c r="R80" s="11">
        <f t="shared" si="4"/>
        <v>59.76666667</v>
      </c>
      <c r="S80" s="11">
        <f t="shared" si="5"/>
        <v>92</v>
      </c>
      <c r="T80" s="11">
        <f t="shared" si="6"/>
        <v>37</v>
      </c>
      <c r="U80" s="11">
        <f t="shared" si="7"/>
        <v>2.486486486</v>
      </c>
      <c r="V80" s="10">
        <f t="shared" si="8"/>
        <v>57175</v>
      </c>
      <c r="W80" s="10">
        <f t="shared" si="9"/>
        <v>31885</v>
      </c>
      <c r="X80" s="11">
        <f t="shared" si="10"/>
        <v>1.793162929</v>
      </c>
      <c r="Y80" s="10">
        <f t="shared" ref="Y80:Z80" si="90">S80+V80</f>
        <v>57267</v>
      </c>
      <c r="Z80" s="12">
        <f t="shared" si="90"/>
        <v>31922</v>
      </c>
      <c r="AA80" s="13">
        <f t="shared" si="12"/>
        <v>1.793966543</v>
      </c>
      <c r="AB80" s="14">
        <f t="shared" si="13"/>
        <v>98.49845201</v>
      </c>
      <c r="AC80" s="14"/>
      <c r="AD80" s="14"/>
      <c r="AE80" s="14"/>
    </row>
    <row r="81">
      <c r="A81" s="9" t="s">
        <v>28</v>
      </c>
      <c r="B81" s="9" t="s">
        <v>38</v>
      </c>
      <c r="C81" s="9" t="s">
        <v>30</v>
      </c>
      <c r="D81" s="9" t="s">
        <v>29</v>
      </c>
      <c r="E81" s="10">
        <v>31530.0</v>
      </c>
      <c r="F81" s="10">
        <v>45120.0</v>
      </c>
      <c r="G81" s="10">
        <v>19997.0</v>
      </c>
      <c r="H81" s="10">
        <v>13247.0</v>
      </c>
      <c r="I81" s="10">
        <v>13073.0</v>
      </c>
      <c r="J81" s="10">
        <v>313.0</v>
      </c>
      <c r="K81" s="10">
        <v>38362.0</v>
      </c>
      <c r="L81" s="10">
        <v>137.0</v>
      </c>
      <c r="M81" s="10">
        <v>23935.0</v>
      </c>
      <c r="N81" s="10">
        <v>156.0</v>
      </c>
      <c r="O81" s="10">
        <v>23345.0</v>
      </c>
      <c r="P81" s="10">
        <f t="shared" si="2"/>
        <v>31530</v>
      </c>
      <c r="Q81" s="10">
        <f t="shared" si="3"/>
        <v>20171</v>
      </c>
      <c r="R81" s="11">
        <f t="shared" si="4"/>
        <v>63.97399302</v>
      </c>
      <c r="S81" s="11">
        <f t="shared" si="5"/>
        <v>294</v>
      </c>
      <c r="T81" s="11">
        <f t="shared" si="6"/>
        <v>137</v>
      </c>
      <c r="U81" s="11">
        <f t="shared" si="7"/>
        <v>2.145985401</v>
      </c>
      <c r="V81" s="10">
        <f t="shared" si="8"/>
        <v>38952</v>
      </c>
      <c r="W81" s="10">
        <f t="shared" si="9"/>
        <v>23935</v>
      </c>
      <c r="X81" s="11">
        <f t="shared" si="10"/>
        <v>1.627407562</v>
      </c>
      <c r="Y81" s="10">
        <f t="shared" ref="Y81:Z81" si="91">S81+V81</f>
        <v>39246</v>
      </c>
      <c r="Z81" s="12">
        <f t="shared" si="91"/>
        <v>24072</v>
      </c>
      <c r="AA81" s="13">
        <f t="shared" si="12"/>
        <v>1.630358923</v>
      </c>
      <c r="AB81" s="14">
        <f t="shared" si="13"/>
        <v>86.98138298</v>
      </c>
      <c r="AC81" s="14"/>
      <c r="AD81" s="14"/>
      <c r="AE81" s="14"/>
    </row>
    <row r="82">
      <c r="A82" s="9" t="s">
        <v>28</v>
      </c>
      <c r="B82" s="9" t="s">
        <v>38</v>
      </c>
      <c r="C82" s="9" t="s">
        <v>30</v>
      </c>
      <c r="D82" s="9" t="s">
        <v>29</v>
      </c>
      <c r="E82" s="10">
        <v>1020.0</v>
      </c>
      <c r="F82" s="10">
        <v>1830.0</v>
      </c>
      <c r="G82" s="10">
        <v>506.0</v>
      </c>
      <c r="H82" s="10">
        <v>524.0</v>
      </c>
      <c r="I82" s="10">
        <v>506.0</v>
      </c>
      <c r="J82" s="10">
        <v>0.0</v>
      </c>
      <c r="K82" s="10">
        <v>1012.0</v>
      </c>
      <c r="L82" s="10">
        <v>0.0</v>
      </c>
      <c r="M82" s="10">
        <v>1048.0</v>
      </c>
      <c r="N82" s="10">
        <v>0.0</v>
      </c>
      <c r="O82" s="10">
        <v>1012.0</v>
      </c>
      <c r="P82" s="10">
        <f t="shared" si="2"/>
        <v>1020</v>
      </c>
      <c r="Q82" s="10">
        <f t="shared" si="3"/>
        <v>524</v>
      </c>
      <c r="R82" s="11">
        <f t="shared" si="4"/>
        <v>51.37254902</v>
      </c>
      <c r="S82" s="11">
        <f t="shared" si="5"/>
        <v>0</v>
      </c>
      <c r="T82" s="11">
        <f t="shared" si="6"/>
        <v>0</v>
      </c>
      <c r="U82" s="11" t="str">
        <f t="shared" si="7"/>
        <v>#DIV/0!</v>
      </c>
      <c r="V82" s="10">
        <f t="shared" si="8"/>
        <v>1048</v>
      </c>
      <c r="W82" s="10">
        <f t="shared" si="9"/>
        <v>1048</v>
      </c>
      <c r="X82" s="11">
        <f t="shared" si="10"/>
        <v>1</v>
      </c>
      <c r="Y82" s="10">
        <f t="shared" ref="Y82:Z82" si="92">S82+V82</f>
        <v>1048</v>
      </c>
      <c r="Z82" s="12">
        <f t="shared" si="92"/>
        <v>1048</v>
      </c>
      <c r="AA82" s="13">
        <f t="shared" si="12"/>
        <v>1</v>
      </c>
      <c r="AB82" s="14">
        <f t="shared" si="13"/>
        <v>57.26775956</v>
      </c>
      <c r="AC82" s="14"/>
      <c r="AD82" s="14"/>
      <c r="AE82" s="14"/>
    </row>
    <row r="83">
      <c r="A83" s="9" t="s">
        <v>28</v>
      </c>
      <c r="B83" s="9" t="s">
        <v>39</v>
      </c>
      <c r="C83" s="9" t="s">
        <v>30</v>
      </c>
      <c r="D83" s="9" t="s">
        <v>29</v>
      </c>
      <c r="E83" s="10">
        <v>2542.0</v>
      </c>
      <c r="F83" s="10">
        <v>5952.0</v>
      </c>
      <c r="G83" s="10">
        <v>1365.0</v>
      </c>
      <c r="H83" s="10">
        <v>1307.0</v>
      </c>
      <c r="I83" s="10">
        <v>1365.0</v>
      </c>
      <c r="J83" s="10">
        <v>0.0</v>
      </c>
      <c r="K83" s="10">
        <v>3418.0</v>
      </c>
      <c r="L83" s="10">
        <v>0.0</v>
      </c>
      <c r="M83" s="10">
        <v>3291.0</v>
      </c>
      <c r="N83" s="10">
        <v>0.0</v>
      </c>
      <c r="O83" s="10">
        <v>3418.0</v>
      </c>
      <c r="P83" s="10">
        <f t="shared" si="2"/>
        <v>2542</v>
      </c>
      <c r="Q83" s="10">
        <f t="shared" si="3"/>
        <v>1307</v>
      </c>
      <c r="R83" s="11">
        <f t="shared" si="4"/>
        <v>51.41620771</v>
      </c>
      <c r="S83" s="11">
        <f t="shared" si="5"/>
        <v>0</v>
      </c>
      <c r="T83" s="11">
        <f t="shared" si="6"/>
        <v>0</v>
      </c>
      <c r="U83" s="11" t="str">
        <f t="shared" si="7"/>
        <v>#DIV/0!</v>
      </c>
      <c r="V83" s="10">
        <f t="shared" si="8"/>
        <v>3291</v>
      </c>
      <c r="W83" s="10">
        <f t="shared" si="9"/>
        <v>3291</v>
      </c>
      <c r="X83" s="11">
        <f t="shared" si="10"/>
        <v>1</v>
      </c>
      <c r="Y83" s="10">
        <f t="shared" ref="Y83:Z83" si="93">S83+V83</f>
        <v>3291</v>
      </c>
      <c r="Z83" s="12">
        <f t="shared" si="93"/>
        <v>3291</v>
      </c>
      <c r="AA83" s="13">
        <f t="shared" si="12"/>
        <v>1</v>
      </c>
      <c r="AB83" s="14">
        <f t="shared" si="13"/>
        <v>55.29233871</v>
      </c>
      <c r="AC83" s="14"/>
      <c r="AD83" s="14"/>
      <c r="AE83" s="14"/>
    </row>
    <row r="84">
      <c r="A84" s="9" t="s">
        <v>28</v>
      </c>
      <c r="B84" s="9" t="s">
        <v>39</v>
      </c>
      <c r="C84" s="9" t="s">
        <v>30</v>
      </c>
      <c r="D84" s="9" t="s">
        <v>29</v>
      </c>
      <c r="E84" s="10">
        <v>3100.0</v>
      </c>
      <c r="F84" s="10">
        <v>6200.0</v>
      </c>
      <c r="G84" s="10">
        <v>937.0</v>
      </c>
      <c r="H84" s="10">
        <v>744.0</v>
      </c>
      <c r="I84" s="10">
        <v>735.0</v>
      </c>
      <c r="J84" s="10">
        <v>0.0</v>
      </c>
      <c r="K84" s="10">
        <v>1874.0</v>
      </c>
      <c r="L84" s="10">
        <v>0.0</v>
      </c>
      <c r="M84" s="10">
        <v>1488.0</v>
      </c>
      <c r="N84" s="10">
        <v>0.0</v>
      </c>
      <c r="O84" s="10">
        <v>1470.0</v>
      </c>
      <c r="P84" s="10">
        <f t="shared" si="2"/>
        <v>3100</v>
      </c>
      <c r="Q84" s="10">
        <f t="shared" si="3"/>
        <v>946</v>
      </c>
      <c r="R84" s="11">
        <f t="shared" si="4"/>
        <v>30.51612903</v>
      </c>
      <c r="S84" s="11">
        <f t="shared" si="5"/>
        <v>0</v>
      </c>
      <c r="T84" s="11">
        <f t="shared" si="6"/>
        <v>0</v>
      </c>
      <c r="U84" s="11" t="str">
        <f t="shared" si="7"/>
        <v>#DIV/0!</v>
      </c>
      <c r="V84" s="10">
        <f t="shared" si="8"/>
        <v>1892</v>
      </c>
      <c r="W84" s="10">
        <f t="shared" si="9"/>
        <v>1488</v>
      </c>
      <c r="X84" s="11">
        <f t="shared" si="10"/>
        <v>1.271505376</v>
      </c>
      <c r="Y84" s="10">
        <f t="shared" ref="Y84:Z84" si="94">S84+V84</f>
        <v>1892</v>
      </c>
      <c r="Z84" s="12">
        <f t="shared" si="94"/>
        <v>1488</v>
      </c>
      <c r="AA84" s="13">
        <f t="shared" si="12"/>
        <v>1.271505376</v>
      </c>
      <c r="AB84" s="14">
        <f t="shared" si="13"/>
        <v>30.51612903</v>
      </c>
      <c r="AC84" s="14"/>
      <c r="AD84" s="14"/>
      <c r="AE84" s="14"/>
    </row>
    <row r="85">
      <c r="A85" s="9" t="s">
        <v>28</v>
      </c>
      <c r="B85" s="9" t="s">
        <v>39</v>
      </c>
      <c r="C85" s="9" t="s">
        <v>30</v>
      </c>
      <c r="D85" s="9" t="s">
        <v>29</v>
      </c>
      <c r="E85" s="10">
        <v>682.0</v>
      </c>
      <c r="F85" s="10">
        <v>899.0</v>
      </c>
      <c r="G85" s="10">
        <v>228.0</v>
      </c>
      <c r="H85" s="10">
        <v>133.0</v>
      </c>
      <c r="I85" s="10">
        <v>136.0</v>
      </c>
      <c r="J85" s="10">
        <v>0.0</v>
      </c>
      <c r="K85" s="10">
        <v>387.0</v>
      </c>
      <c r="L85" s="10">
        <v>0.0</v>
      </c>
      <c r="M85" s="10">
        <v>222.0</v>
      </c>
      <c r="N85" s="10">
        <v>0.0</v>
      </c>
      <c r="O85" s="10">
        <v>224.0</v>
      </c>
      <c r="P85" s="10">
        <f t="shared" si="2"/>
        <v>682</v>
      </c>
      <c r="Q85" s="10">
        <f t="shared" si="3"/>
        <v>225</v>
      </c>
      <c r="R85" s="11">
        <f t="shared" si="4"/>
        <v>32.99120235</v>
      </c>
      <c r="S85" s="11">
        <f t="shared" si="5"/>
        <v>0</v>
      </c>
      <c r="T85" s="11">
        <f t="shared" si="6"/>
        <v>0</v>
      </c>
      <c r="U85" s="11" t="str">
        <f t="shared" si="7"/>
        <v>#DIV/0!</v>
      </c>
      <c r="V85" s="10">
        <f t="shared" si="8"/>
        <v>385</v>
      </c>
      <c r="W85" s="10">
        <f t="shared" si="9"/>
        <v>222</v>
      </c>
      <c r="X85" s="11">
        <f t="shared" si="10"/>
        <v>1.734234234</v>
      </c>
      <c r="Y85" s="10">
        <f t="shared" ref="Y85:Z85" si="95">S85+V85</f>
        <v>385</v>
      </c>
      <c r="Z85" s="12">
        <f t="shared" si="95"/>
        <v>222</v>
      </c>
      <c r="AA85" s="13">
        <f t="shared" si="12"/>
        <v>1.734234234</v>
      </c>
      <c r="AB85" s="14">
        <f t="shared" si="13"/>
        <v>42.82536151</v>
      </c>
      <c r="AC85" s="14"/>
      <c r="AD85" s="14"/>
      <c r="AE85" s="14"/>
    </row>
    <row r="86">
      <c r="A86" s="9" t="s">
        <v>28</v>
      </c>
      <c r="B86" s="9" t="s">
        <v>39</v>
      </c>
      <c r="C86" s="9" t="s">
        <v>30</v>
      </c>
      <c r="D86" s="9" t="s">
        <v>29</v>
      </c>
      <c r="E86" s="10">
        <v>1922.0</v>
      </c>
      <c r="F86" s="10">
        <v>3844.0</v>
      </c>
      <c r="G86" s="10">
        <v>906.0</v>
      </c>
      <c r="H86" s="10">
        <v>712.0</v>
      </c>
      <c r="I86" s="10">
        <v>733.0</v>
      </c>
      <c r="J86" s="10">
        <v>0.0</v>
      </c>
      <c r="K86" s="10">
        <v>1812.0</v>
      </c>
      <c r="L86" s="10">
        <v>0.0</v>
      </c>
      <c r="M86" s="10">
        <v>1424.0</v>
      </c>
      <c r="N86" s="10">
        <v>0.0</v>
      </c>
      <c r="O86" s="10">
        <v>1466.0</v>
      </c>
      <c r="P86" s="10">
        <f t="shared" si="2"/>
        <v>1922</v>
      </c>
      <c r="Q86" s="10">
        <f t="shared" si="3"/>
        <v>885</v>
      </c>
      <c r="R86" s="11">
        <f t="shared" si="4"/>
        <v>46.04578564</v>
      </c>
      <c r="S86" s="11">
        <f t="shared" si="5"/>
        <v>0</v>
      </c>
      <c r="T86" s="11">
        <f t="shared" si="6"/>
        <v>0</v>
      </c>
      <c r="U86" s="11" t="str">
        <f t="shared" si="7"/>
        <v>#DIV/0!</v>
      </c>
      <c r="V86" s="10">
        <f t="shared" si="8"/>
        <v>1770</v>
      </c>
      <c r="W86" s="10">
        <f t="shared" si="9"/>
        <v>1424</v>
      </c>
      <c r="X86" s="11">
        <f t="shared" si="10"/>
        <v>1.242977528</v>
      </c>
      <c r="Y86" s="10">
        <f t="shared" ref="Y86:Z86" si="96">S86+V86</f>
        <v>1770</v>
      </c>
      <c r="Z86" s="12">
        <f t="shared" si="96"/>
        <v>1424</v>
      </c>
      <c r="AA86" s="13">
        <f t="shared" si="12"/>
        <v>1.242977528</v>
      </c>
      <c r="AB86" s="14">
        <f t="shared" si="13"/>
        <v>46.04578564</v>
      </c>
      <c r="AC86" s="14"/>
      <c r="AD86" s="14"/>
      <c r="AE86" s="14"/>
    </row>
    <row r="87">
      <c r="A87" s="9" t="s">
        <v>28</v>
      </c>
      <c r="B87" s="9" t="s">
        <v>39</v>
      </c>
      <c r="C87" s="9" t="s">
        <v>30</v>
      </c>
      <c r="D87" s="9" t="s">
        <v>29</v>
      </c>
      <c r="E87" s="10">
        <v>2666.0</v>
      </c>
      <c r="F87" s="10">
        <v>3782.0</v>
      </c>
      <c r="G87" s="10">
        <v>956.0</v>
      </c>
      <c r="H87" s="10">
        <v>863.0</v>
      </c>
      <c r="I87" s="10">
        <v>827.0</v>
      </c>
      <c r="J87" s="10">
        <v>0.0</v>
      </c>
      <c r="K87" s="10">
        <v>1906.0</v>
      </c>
      <c r="L87" s="10">
        <v>0.0</v>
      </c>
      <c r="M87" s="10">
        <v>1726.0</v>
      </c>
      <c r="N87" s="10">
        <v>0.0</v>
      </c>
      <c r="O87" s="10">
        <v>1666.0</v>
      </c>
      <c r="P87" s="10">
        <f t="shared" si="2"/>
        <v>2666</v>
      </c>
      <c r="Q87" s="10">
        <f t="shared" si="3"/>
        <v>992</v>
      </c>
      <c r="R87" s="11">
        <f t="shared" si="4"/>
        <v>37.20930233</v>
      </c>
      <c r="S87" s="11">
        <f t="shared" si="5"/>
        <v>0</v>
      </c>
      <c r="T87" s="11">
        <f t="shared" si="6"/>
        <v>0</v>
      </c>
      <c r="U87" s="11" t="str">
        <f t="shared" si="7"/>
        <v>#DIV/0!</v>
      </c>
      <c r="V87" s="10">
        <f t="shared" si="8"/>
        <v>1966</v>
      </c>
      <c r="W87" s="10">
        <f t="shared" si="9"/>
        <v>1726</v>
      </c>
      <c r="X87" s="11">
        <f t="shared" si="10"/>
        <v>1.139049826</v>
      </c>
      <c r="Y87" s="10">
        <f t="shared" ref="Y87:Z87" si="97">S87+V87</f>
        <v>1966</v>
      </c>
      <c r="Z87" s="12">
        <f t="shared" si="97"/>
        <v>1726</v>
      </c>
      <c r="AA87" s="13">
        <f t="shared" si="12"/>
        <v>1.139049826</v>
      </c>
      <c r="AB87" s="14">
        <f t="shared" si="13"/>
        <v>51.98307774</v>
      </c>
      <c r="AC87" s="14"/>
      <c r="AD87" s="14"/>
      <c r="AE87" s="14"/>
    </row>
    <row r="88">
      <c r="A88" s="9" t="s">
        <v>28</v>
      </c>
      <c r="B88" s="9" t="s">
        <v>39</v>
      </c>
      <c r="C88" s="9" t="s">
        <v>30</v>
      </c>
      <c r="D88" s="9" t="s">
        <v>29</v>
      </c>
      <c r="E88" s="10">
        <v>5208.0</v>
      </c>
      <c r="F88" s="10">
        <v>7316.0</v>
      </c>
      <c r="G88" s="10">
        <v>3138.0</v>
      </c>
      <c r="H88" s="10">
        <v>2641.0</v>
      </c>
      <c r="I88" s="10">
        <v>2667.0</v>
      </c>
      <c r="J88" s="10">
        <v>0.0</v>
      </c>
      <c r="K88" s="10">
        <v>6142.0</v>
      </c>
      <c r="L88" s="10">
        <v>0.0</v>
      </c>
      <c r="M88" s="10">
        <v>5090.0</v>
      </c>
      <c r="N88" s="10">
        <v>0.0</v>
      </c>
      <c r="O88" s="10">
        <v>5139.0</v>
      </c>
      <c r="P88" s="10">
        <f t="shared" si="2"/>
        <v>5208</v>
      </c>
      <c r="Q88" s="10">
        <f t="shared" si="3"/>
        <v>3112</v>
      </c>
      <c r="R88" s="11">
        <f t="shared" si="4"/>
        <v>59.75422427</v>
      </c>
      <c r="S88" s="11">
        <f t="shared" si="5"/>
        <v>0</v>
      </c>
      <c r="T88" s="11">
        <f t="shared" si="6"/>
        <v>0</v>
      </c>
      <c r="U88" s="11" t="str">
        <f t="shared" si="7"/>
        <v>#DIV/0!</v>
      </c>
      <c r="V88" s="10">
        <f t="shared" si="8"/>
        <v>6093</v>
      </c>
      <c r="W88" s="10">
        <f t="shared" si="9"/>
        <v>5090</v>
      </c>
      <c r="X88" s="11">
        <f t="shared" si="10"/>
        <v>1.197053045</v>
      </c>
      <c r="Y88" s="10">
        <f t="shared" ref="Y88:Z88" si="98">S88+V88</f>
        <v>6093</v>
      </c>
      <c r="Z88" s="12">
        <f t="shared" si="98"/>
        <v>5090</v>
      </c>
      <c r="AA88" s="13">
        <f t="shared" si="12"/>
        <v>1.197053045</v>
      </c>
      <c r="AB88" s="14">
        <f t="shared" si="13"/>
        <v>83.28321487</v>
      </c>
      <c r="AC88" s="14"/>
      <c r="AD88" s="14"/>
      <c r="AE88" s="14"/>
    </row>
    <row r="89">
      <c r="A89" s="9" t="s">
        <v>28</v>
      </c>
      <c r="B89" s="9" t="s">
        <v>39</v>
      </c>
      <c r="C89" s="9" t="s">
        <v>30</v>
      </c>
      <c r="D89" s="9" t="s">
        <v>29</v>
      </c>
      <c r="E89" s="10">
        <v>40254.0</v>
      </c>
      <c r="F89" s="10">
        <v>59334.0</v>
      </c>
      <c r="G89" s="10">
        <v>24144.0</v>
      </c>
      <c r="H89" s="10">
        <v>18450.0</v>
      </c>
      <c r="I89" s="10">
        <v>18703.0</v>
      </c>
      <c r="J89" s="10">
        <v>73.0</v>
      </c>
      <c r="K89" s="10">
        <v>45665.0</v>
      </c>
      <c r="L89" s="10">
        <v>25.0</v>
      </c>
      <c r="M89" s="10">
        <v>31552.0</v>
      </c>
      <c r="N89" s="10">
        <v>25.0</v>
      </c>
      <c r="O89" s="10">
        <v>31765.0</v>
      </c>
      <c r="P89" s="10">
        <f t="shared" si="2"/>
        <v>40254</v>
      </c>
      <c r="Q89" s="10">
        <f t="shared" si="3"/>
        <v>23891</v>
      </c>
      <c r="R89" s="11">
        <f t="shared" si="4"/>
        <v>59.35062354</v>
      </c>
      <c r="S89" s="11">
        <f t="shared" si="5"/>
        <v>73</v>
      </c>
      <c r="T89" s="11">
        <f t="shared" si="6"/>
        <v>25</v>
      </c>
      <c r="U89" s="11">
        <f t="shared" si="7"/>
        <v>2.92</v>
      </c>
      <c r="V89" s="10">
        <f t="shared" si="8"/>
        <v>45452</v>
      </c>
      <c r="W89" s="10">
        <f t="shared" si="9"/>
        <v>31552</v>
      </c>
      <c r="X89" s="11">
        <f t="shared" si="10"/>
        <v>1.440542596</v>
      </c>
      <c r="Y89" s="10">
        <f t="shared" ref="Y89:Z89" si="99">S89+V89</f>
        <v>45525</v>
      </c>
      <c r="Z89" s="12">
        <f t="shared" si="99"/>
        <v>31577</v>
      </c>
      <c r="AA89" s="13">
        <f t="shared" si="12"/>
        <v>1.441713906</v>
      </c>
      <c r="AB89" s="14">
        <f t="shared" si="13"/>
        <v>76.72666599</v>
      </c>
      <c r="AC89" s="14"/>
      <c r="AD89" s="14"/>
      <c r="AE89" s="14"/>
    </row>
    <row r="90">
      <c r="A90" s="9" t="s">
        <v>28</v>
      </c>
      <c r="B90" s="9" t="s">
        <v>39</v>
      </c>
      <c r="C90" s="9" t="s">
        <v>30</v>
      </c>
      <c r="D90" s="9" t="s">
        <v>29</v>
      </c>
      <c r="E90" s="10">
        <v>32581.0</v>
      </c>
      <c r="F90" s="10">
        <v>46624.0</v>
      </c>
      <c r="G90" s="10">
        <v>20627.0</v>
      </c>
      <c r="H90" s="10">
        <v>13692.0</v>
      </c>
      <c r="I90" s="10">
        <v>14021.0</v>
      </c>
      <c r="J90" s="10">
        <v>333.0</v>
      </c>
      <c r="K90" s="10">
        <v>42318.0</v>
      </c>
      <c r="L90" s="10">
        <v>142.0</v>
      </c>
      <c r="M90" s="10">
        <v>23495.0</v>
      </c>
      <c r="N90" s="10">
        <v>144.0</v>
      </c>
      <c r="O90" s="10">
        <v>23800.0</v>
      </c>
      <c r="P90" s="10">
        <f t="shared" si="2"/>
        <v>32581</v>
      </c>
      <c r="Q90" s="10">
        <f t="shared" si="3"/>
        <v>20298</v>
      </c>
      <c r="R90" s="11">
        <f t="shared" si="4"/>
        <v>62.30011356</v>
      </c>
      <c r="S90" s="11">
        <f t="shared" si="5"/>
        <v>331</v>
      </c>
      <c r="T90" s="11">
        <f t="shared" si="6"/>
        <v>142</v>
      </c>
      <c r="U90" s="11">
        <f t="shared" si="7"/>
        <v>2.330985915</v>
      </c>
      <c r="V90" s="10">
        <f t="shared" si="8"/>
        <v>42013</v>
      </c>
      <c r="W90" s="10">
        <f t="shared" si="9"/>
        <v>23495</v>
      </c>
      <c r="X90" s="11">
        <f t="shared" si="10"/>
        <v>1.788167695</v>
      </c>
      <c r="Y90" s="10">
        <f t="shared" ref="Y90:Z90" si="100">S90+V90</f>
        <v>42344</v>
      </c>
      <c r="Z90" s="12">
        <f t="shared" si="100"/>
        <v>23637</v>
      </c>
      <c r="AA90" s="13">
        <f t="shared" si="12"/>
        <v>1.791428692</v>
      </c>
      <c r="AB90" s="14">
        <f t="shared" si="13"/>
        <v>90.82017845</v>
      </c>
      <c r="AC90" s="14"/>
      <c r="AD90" s="14"/>
      <c r="AE90" s="14"/>
    </row>
    <row r="91">
      <c r="A91" s="9" t="s">
        <v>28</v>
      </c>
      <c r="B91" s="9" t="s">
        <v>39</v>
      </c>
      <c r="C91" s="9" t="s">
        <v>30</v>
      </c>
      <c r="D91" s="9" t="s">
        <v>29</v>
      </c>
      <c r="E91" s="10">
        <v>1054.0</v>
      </c>
      <c r="F91" s="10">
        <v>1891.0</v>
      </c>
      <c r="G91" s="10">
        <v>455.0</v>
      </c>
      <c r="H91" s="10">
        <v>477.0</v>
      </c>
      <c r="I91" s="10">
        <v>455.0</v>
      </c>
      <c r="J91" s="10">
        <v>0.0</v>
      </c>
      <c r="K91" s="10">
        <v>910.0</v>
      </c>
      <c r="L91" s="10">
        <v>0.0</v>
      </c>
      <c r="M91" s="10">
        <v>954.0</v>
      </c>
      <c r="N91" s="10">
        <v>0.0</v>
      </c>
      <c r="O91" s="10">
        <v>910.0</v>
      </c>
      <c r="P91" s="10">
        <f t="shared" si="2"/>
        <v>1054</v>
      </c>
      <c r="Q91" s="10">
        <f t="shared" si="3"/>
        <v>477</v>
      </c>
      <c r="R91" s="11">
        <f t="shared" si="4"/>
        <v>45.25616698</v>
      </c>
      <c r="S91" s="11">
        <f t="shared" si="5"/>
        <v>0</v>
      </c>
      <c r="T91" s="11">
        <f t="shared" si="6"/>
        <v>0</v>
      </c>
      <c r="U91" s="11" t="str">
        <f t="shared" si="7"/>
        <v>#DIV/0!</v>
      </c>
      <c r="V91" s="10">
        <f t="shared" si="8"/>
        <v>954</v>
      </c>
      <c r="W91" s="10">
        <f t="shared" si="9"/>
        <v>954</v>
      </c>
      <c r="X91" s="11">
        <f t="shared" si="10"/>
        <v>1</v>
      </c>
      <c r="Y91" s="10">
        <f t="shared" ref="Y91:Z91" si="101">S91+V91</f>
        <v>954</v>
      </c>
      <c r="Z91" s="12">
        <f t="shared" si="101"/>
        <v>954</v>
      </c>
      <c r="AA91" s="13">
        <f t="shared" si="12"/>
        <v>1</v>
      </c>
      <c r="AB91" s="14">
        <f t="shared" si="13"/>
        <v>50.44949762</v>
      </c>
      <c r="AC91" s="14"/>
      <c r="AD91" s="14"/>
      <c r="AE91" s="14"/>
    </row>
    <row r="92">
      <c r="A92" s="9" t="s">
        <v>28</v>
      </c>
      <c r="B92" s="9" t="s">
        <v>40</v>
      </c>
      <c r="C92" s="9" t="s">
        <v>30</v>
      </c>
      <c r="D92" s="9" t="s">
        <v>29</v>
      </c>
      <c r="E92" s="10">
        <v>2542.0</v>
      </c>
      <c r="F92" s="10">
        <v>5952.0</v>
      </c>
      <c r="G92" s="10">
        <v>1070.0</v>
      </c>
      <c r="H92" s="10">
        <v>1070.0</v>
      </c>
      <c r="I92" s="10">
        <v>1070.0</v>
      </c>
      <c r="J92" s="10">
        <v>0.0</v>
      </c>
      <c r="K92" s="10">
        <v>2720.0</v>
      </c>
      <c r="L92" s="10">
        <v>0.0</v>
      </c>
      <c r="M92" s="10">
        <v>2724.0</v>
      </c>
      <c r="N92" s="10">
        <v>0.0</v>
      </c>
      <c r="O92" s="10">
        <v>2720.0</v>
      </c>
      <c r="P92" s="10">
        <f t="shared" si="2"/>
        <v>2542</v>
      </c>
      <c r="Q92" s="10">
        <f t="shared" si="3"/>
        <v>1070</v>
      </c>
      <c r="R92" s="11">
        <f t="shared" si="4"/>
        <v>42.09284028</v>
      </c>
      <c r="S92" s="11">
        <f t="shared" si="5"/>
        <v>0</v>
      </c>
      <c r="T92" s="11">
        <f t="shared" si="6"/>
        <v>0</v>
      </c>
      <c r="U92" s="11" t="str">
        <f t="shared" si="7"/>
        <v>#DIV/0!</v>
      </c>
      <c r="V92" s="10">
        <f t="shared" si="8"/>
        <v>2724</v>
      </c>
      <c r="W92" s="10">
        <f t="shared" si="9"/>
        <v>2724</v>
      </c>
      <c r="X92" s="11">
        <f t="shared" si="10"/>
        <v>1</v>
      </c>
      <c r="Y92" s="10">
        <f t="shared" ref="Y92:Z92" si="102">S92+V92</f>
        <v>2724</v>
      </c>
      <c r="Z92" s="12">
        <f t="shared" si="102"/>
        <v>2724</v>
      </c>
      <c r="AA92" s="13">
        <f t="shared" si="12"/>
        <v>1</v>
      </c>
      <c r="AB92" s="14">
        <f t="shared" si="13"/>
        <v>45.76612903</v>
      </c>
      <c r="AC92" s="14"/>
      <c r="AD92" s="14"/>
      <c r="AE92" s="14"/>
    </row>
    <row r="93">
      <c r="A93" s="9" t="s">
        <v>28</v>
      </c>
      <c r="B93" s="9" t="s">
        <v>40</v>
      </c>
      <c r="C93" s="9" t="s">
        <v>30</v>
      </c>
      <c r="D93" s="9" t="s">
        <v>29</v>
      </c>
      <c r="E93" s="10">
        <v>3100.0</v>
      </c>
      <c r="F93" s="10">
        <v>6200.0</v>
      </c>
      <c r="G93" s="10">
        <v>1116.0</v>
      </c>
      <c r="H93" s="10">
        <v>811.0</v>
      </c>
      <c r="I93" s="10">
        <v>818.0</v>
      </c>
      <c r="J93" s="10">
        <v>0.0</v>
      </c>
      <c r="K93" s="10">
        <v>2232.0</v>
      </c>
      <c r="L93" s="10">
        <v>0.0</v>
      </c>
      <c r="M93" s="10">
        <v>1622.0</v>
      </c>
      <c r="N93" s="10">
        <v>0.0</v>
      </c>
      <c r="O93" s="10">
        <v>1636.0</v>
      </c>
      <c r="P93" s="10">
        <f t="shared" si="2"/>
        <v>3100</v>
      </c>
      <c r="Q93" s="10">
        <f t="shared" si="3"/>
        <v>1109</v>
      </c>
      <c r="R93" s="11">
        <f t="shared" si="4"/>
        <v>35.77419355</v>
      </c>
      <c r="S93" s="11">
        <f t="shared" si="5"/>
        <v>0</v>
      </c>
      <c r="T93" s="11">
        <f t="shared" si="6"/>
        <v>0</v>
      </c>
      <c r="U93" s="11" t="str">
        <f t="shared" si="7"/>
        <v>#DIV/0!</v>
      </c>
      <c r="V93" s="10">
        <f t="shared" si="8"/>
        <v>2218</v>
      </c>
      <c r="W93" s="10">
        <f t="shared" si="9"/>
        <v>1622</v>
      </c>
      <c r="X93" s="11">
        <f t="shared" si="10"/>
        <v>1.367447596</v>
      </c>
      <c r="Y93" s="10">
        <f t="shared" ref="Y93:Z93" si="103">S93+V93</f>
        <v>2218</v>
      </c>
      <c r="Z93" s="12">
        <f t="shared" si="103"/>
        <v>1622</v>
      </c>
      <c r="AA93" s="13">
        <f t="shared" si="12"/>
        <v>1.367447596</v>
      </c>
      <c r="AB93" s="14">
        <f t="shared" si="13"/>
        <v>35.77419355</v>
      </c>
      <c r="AC93" s="14"/>
      <c r="AD93" s="14"/>
      <c r="AE93" s="14"/>
    </row>
    <row r="94">
      <c r="A94" s="9" t="s">
        <v>28</v>
      </c>
      <c r="B94" s="9" t="s">
        <v>40</v>
      </c>
      <c r="C94" s="9" t="s">
        <v>30</v>
      </c>
      <c r="D94" s="9" t="s">
        <v>29</v>
      </c>
      <c r="E94" s="10">
        <v>682.0</v>
      </c>
      <c r="F94" s="10">
        <v>899.0</v>
      </c>
      <c r="G94" s="10">
        <v>82.0</v>
      </c>
      <c r="H94" s="10">
        <v>70.0</v>
      </c>
      <c r="I94" s="10">
        <v>67.0</v>
      </c>
      <c r="J94" s="10">
        <v>0.0</v>
      </c>
      <c r="K94" s="10">
        <v>131.0</v>
      </c>
      <c r="L94" s="10">
        <v>0.0</v>
      </c>
      <c r="M94" s="10">
        <v>110.0</v>
      </c>
      <c r="N94" s="10">
        <v>0.0</v>
      </c>
      <c r="O94" s="10">
        <v>105.0</v>
      </c>
      <c r="P94" s="10">
        <f t="shared" si="2"/>
        <v>682</v>
      </c>
      <c r="Q94" s="10">
        <f t="shared" si="3"/>
        <v>85</v>
      </c>
      <c r="R94" s="11">
        <f t="shared" si="4"/>
        <v>12.46334311</v>
      </c>
      <c r="S94" s="11">
        <f t="shared" si="5"/>
        <v>0</v>
      </c>
      <c r="T94" s="11">
        <f t="shared" si="6"/>
        <v>0</v>
      </c>
      <c r="U94" s="11" t="str">
        <f t="shared" si="7"/>
        <v>#DIV/0!</v>
      </c>
      <c r="V94" s="10">
        <f t="shared" si="8"/>
        <v>136</v>
      </c>
      <c r="W94" s="10">
        <f t="shared" si="9"/>
        <v>110</v>
      </c>
      <c r="X94" s="11">
        <f t="shared" si="10"/>
        <v>1.236363636</v>
      </c>
      <c r="Y94" s="10">
        <f t="shared" ref="Y94:Z94" si="104">S94+V94</f>
        <v>136</v>
      </c>
      <c r="Z94" s="12">
        <f t="shared" si="104"/>
        <v>110</v>
      </c>
      <c r="AA94" s="13">
        <f t="shared" si="12"/>
        <v>1.236363636</v>
      </c>
      <c r="AB94" s="14">
        <f t="shared" si="13"/>
        <v>15.12791991</v>
      </c>
      <c r="AC94" s="14"/>
      <c r="AD94" s="14"/>
      <c r="AE94" s="14"/>
    </row>
    <row r="95">
      <c r="A95" s="9" t="s">
        <v>28</v>
      </c>
      <c r="B95" s="9" t="s">
        <v>40</v>
      </c>
      <c r="C95" s="9" t="s">
        <v>30</v>
      </c>
      <c r="D95" s="9" t="s">
        <v>29</v>
      </c>
      <c r="E95" s="10">
        <v>1922.0</v>
      </c>
      <c r="F95" s="10">
        <v>3844.0</v>
      </c>
      <c r="G95" s="10">
        <v>1019.0</v>
      </c>
      <c r="H95" s="10">
        <v>599.0</v>
      </c>
      <c r="I95" s="10">
        <v>617.0</v>
      </c>
      <c r="J95" s="10">
        <v>0.0</v>
      </c>
      <c r="K95" s="10">
        <v>2038.0</v>
      </c>
      <c r="L95" s="10">
        <v>0.0</v>
      </c>
      <c r="M95" s="10">
        <v>1186.0</v>
      </c>
      <c r="N95" s="10">
        <v>0.0</v>
      </c>
      <c r="O95" s="10">
        <v>1234.0</v>
      </c>
      <c r="P95" s="10">
        <f t="shared" si="2"/>
        <v>1922</v>
      </c>
      <c r="Q95" s="10">
        <f t="shared" si="3"/>
        <v>1001</v>
      </c>
      <c r="R95" s="11">
        <f t="shared" si="4"/>
        <v>52.08116545</v>
      </c>
      <c r="S95" s="11">
        <f t="shared" si="5"/>
        <v>0</v>
      </c>
      <c r="T95" s="11">
        <f t="shared" si="6"/>
        <v>0</v>
      </c>
      <c r="U95" s="11" t="str">
        <f t="shared" si="7"/>
        <v>#DIV/0!</v>
      </c>
      <c r="V95" s="10">
        <f t="shared" si="8"/>
        <v>1990</v>
      </c>
      <c r="W95" s="10">
        <f t="shared" si="9"/>
        <v>1186</v>
      </c>
      <c r="X95" s="11">
        <f t="shared" si="10"/>
        <v>1.677908938</v>
      </c>
      <c r="Y95" s="10">
        <f t="shared" ref="Y95:Z95" si="105">S95+V95</f>
        <v>1990</v>
      </c>
      <c r="Z95" s="12">
        <f t="shared" si="105"/>
        <v>1186</v>
      </c>
      <c r="AA95" s="13">
        <f t="shared" si="12"/>
        <v>1.677908938</v>
      </c>
      <c r="AB95" s="14">
        <f t="shared" si="13"/>
        <v>51.76899063</v>
      </c>
      <c r="AC95" s="14"/>
      <c r="AD95" s="14"/>
      <c r="AE95" s="14"/>
    </row>
    <row r="96">
      <c r="A96" s="9" t="s">
        <v>28</v>
      </c>
      <c r="B96" s="9" t="s">
        <v>40</v>
      </c>
      <c r="C96" s="9" t="s">
        <v>30</v>
      </c>
      <c r="D96" s="9" t="s">
        <v>29</v>
      </c>
      <c r="E96" s="10">
        <v>2666.0</v>
      </c>
      <c r="F96" s="10">
        <v>3782.0</v>
      </c>
      <c r="G96" s="10">
        <v>827.0</v>
      </c>
      <c r="H96" s="10">
        <v>824.0</v>
      </c>
      <c r="I96" s="10">
        <v>821.0</v>
      </c>
      <c r="J96" s="10">
        <v>0.0</v>
      </c>
      <c r="K96" s="10">
        <v>4101.0</v>
      </c>
      <c r="L96" s="10">
        <v>0.0</v>
      </c>
      <c r="M96" s="10">
        <v>1554.0</v>
      </c>
      <c r="N96" s="10">
        <v>0.0</v>
      </c>
      <c r="O96" s="10">
        <v>1413.0</v>
      </c>
      <c r="P96" s="10">
        <f t="shared" si="2"/>
        <v>2666</v>
      </c>
      <c r="Q96" s="10">
        <f t="shared" si="3"/>
        <v>830</v>
      </c>
      <c r="R96" s="11">
        <f t="shared" si="4"/>
        <v>31.1327832</v>
      </c>
      <c r="S96" s="11">
        <f t="shared" si="5"/>
        <v>0</v>
      </c>
      <c r="T96" s="11">
        <f t="shared" si="6"/>
        <v>0</v>
      </c>
      <c r="U96" s="11" t="str">
        <f t="shared" si="7"/>
        <v>#DIV/0!</v>
      </c>
      <c r="V96" s="10">
        <f t="shared" si="8"/>
        <v>4242</v>
      </c>
      <c r="W96" s="10">
        <f t="shared" si="9"/>
        <v>1554</v>
      </c>
      <c r="X96" s="11">
        <f t="shared" si="10"/>
        <v>2.72972973</v>
      </c>
      <c r="Y96" s="10">
        <f t="shared" ref="Y96:Z96" si="106">S96+V96</f>
        <v>4242</v>
      </c>
      <c r="Z96" s="12">
        <f t="shared" si="106"/>
        <v>1554</v>
      </c>
      <c r="AA96" s="13">
        <f t="shared" si="12"/>
        <v>2.72972973</v>
      </c>
      <c r="AB96" s="14">
        <f t="shared" si="13"/>
        <v>112.1628768</v>
      </c>
      <c r="AC96" s="14"/>
      <c r="AD96" s="14"/>
      <c r="AE96" s="14"/>
    </row>
    <row r="97">
      <c r="A97" s="9" t="s">
        <v>28</v>
      </c>
      <c r="B97" s="9" t="s">
        <v>40</v>
      </c>
      <c r="C97" s="9" t="s">
        <v>30</v>
      </c>
      <c r="D97" s="9" t="s">
        <v>29</v>
      </c>
      <c r="E97" s="10">
        <v>5208.0</v>
      </c>
      <c r="F97" s="10">
        <v>7316.0</v>
      </c>
      <c r="G97" s="10">
        <v>2231.0</v>
      </c>
      <c r="H97" s="10">
        <v>2116.0</v>
      </c>
      <c r="I97" s="10">
        <v>2138.0</v>
      </c>
      <c r="J97" s="10">
        <v>0.0</v>
      </c>
      <c r="K97" s="10">
        <v>6119.0</v>
      </c>
      <c r="L97" s="10">
        <v>0.0</v>
      </c>
      <c r="M97" s="10">
        <v>4005.0</v>
      </c>
      <c r="N97" s="10">
        <v>0.0</v>
      </c>
      <c r="O97" s="10">
        <v>3986.0</v>
      </c>
      <c r="P97" s="10">
        <f t="shared" si="2"/>
        <v>5208</v>
      </c>
      <c r="Q97" s="10">
        <f t="shared" si="3"/>
        <v>2209</v>
      </c>
      <c r="R97" s="11">
        <f t="shared" si="4"/>
        <v>42.41551459</v>
      </c>
      <c r="S97" s="11">
        <f t="shared" si="5"/>
        <v>0</v>
      </c>
      <c r="T97" s="11">
        <f t="shared" si="6"/>
        <v>0</v>
      </c>
      <c r="U97" s="11" t="str">
        <f t="shared" si="7"/>
        <v>#DIV/0!</v>
      </c>
      <c r="V97" s="10">
        <f t="shared" si="8"/>
        <v>6138</v>
      </c>
      <c r="W97" s="10">
        <f t="shared" si="9"/>
        <v>4005</v>
      </c>
      <c r="X97" s="11">
        <f t="shared" si="10"/>
        <v>1.53258427</v>
      </c>
      <c r="Y97" s="10">
        <f t="shared" ref="Y97:Z97" si="107">S97+V97</f>
        <v>6138</v>
      </c>
      <c r="Z97" s="12">
        <f t="shared" si="107"/>
        <v>4005</v>
      </c>
      <c r="AA97" s="13">
        <f t="shared" si="12"/>
        <v>1.53258427</v>
      </c>
      <c r="AB97" s="14">
        <f t="shared" si="13"/>
        <v>83.89830508</v>
      </c>
      <c r="AC97" s="14"/>
      <c r="AD97" s="14"/>
      <c r="AE97" s="14"/>
    </row>
    <row r="98">
      <c r="A98" s="9" t="s">
        <v>28</v>
      </c>
      <c r="B98" s="9" t="s">
        <v>40</v>
      </c>
      <c r="C98" s="9" t="s">
        <v>30</v>
      </c>
      <c r="D98" s="9" t="s">
        <v>29</v>
      </c>
      <c r="E98" s="10">
        <v>40300.0</v>
      </c>
      <c r="F98" s="10">
        <v>59334.0</v>
      </c>
      <c r="G98" s="10">
        <v>21294.0</v>
      </c>
      <c r="H98" s="10">
        <v>15899.0</v>
      </c>
      <c r="I98" s="10">
        <v>15922.0</v>
      </c>
      <c r="J98" s="10">
        <v>94.0</v>
      </c>
      <c r="K98" s="10">
        <v>39818.0</v>
      </c>
      <c r="L98" s="10">
        <v>32.0</v>
      </c>
      <c r="M98" s="10">
        <v>26981.0</v>
      </c>
      <c r="N98" s="10">
        <v>31.0</v>
      </c>
      <c r="O98" s="10">
        <v>26993.0</v>
      </c>
      <c r="P98" s="10">
        <f t="shared" si="2"/>
        <v>40300</v>
      </c>
      <c r="Q98" s="10">
        <f t="shared" si="3"/>
        <v>21271</v>
      </c>
      <c r="R98" s="11">
        <f t="shared" si="4"/>
        <v>52.78163772</v>
      </c>
      <c r="S98" s="11">
        <f t="shared" si="5"/>
        <v>95</v>
      </c>
      <c r="T98" s="11">
        <f t="shared" si="6"/>
        <v>32</v>
      </c>
      <c r="U98" s="11">
        <f t="shared" si="7"/>
        <v>2.96875</v>
      </c>
      <c r="V98" s="10">
        <f t="shared" si="8"/>
        <v>39806</v>
      </c>
      <c r="W98" s="10">
        <f t="shared" si="9"/>
        <v>26981</v>
      </c>
      <c r="X98" s="11">
        <f t="shared" si="10"/>
        <v>1.475334495</v>
      </c>
      <c r="Y98" s="10">
        <f t="shared" ref="Y98:Z98" si="108">S98+V98</f>
        <v>39901</v>
      </c>
      <c r="Z98" s="12">
        <f t="shared" si="108"/>
        <v>27013</v>
      </c>
      <c r="AA98" s="13">
        <f t="shared" si="12"/>
        <v>1.477103617</v>
      </c>
      <c r="AB98" s="14">
        <f t="shared" si="13"/>
        <v>67.24812081</v>
      </c>
      <c r="AC98" s="14"/>
      <c r="AD98" s="14"/>
      <c r="AE98" s="14"/>
    </row>
    <row r="99">
      <c r="A99" s="9" t="s">
        <v>28</v>
      </c>
      <c r="B99" s="9" t="s">
        <v>40</v>
      </c>
      <c r="C99" s="9" t="s">
        <v>30</v>
      </c>
      <c r="D99" s="9" t="s">
        <v>29</v>
      </c>
      <c r="E99" s="10">
        <v>32581.0</v>
      </c>
      <c r="F99" s="10">
        <v>46314.0</v>
      </c>
      <c r="G99" s="10">
        <v>18858.0</v>
      </c>
      <c r="H99" s="10">
        <v>11844.0</v>
      </c>
      <c r="I99" s="10">
        <v>11664.0</v>
      </c>
      <c r="J99" s="10">
        <v>409.0</v>
      </c>
      <c r="K99" s="10">
        <v>33385.0</v>
      </c>
      <c r="L99" s="10">
        <v>133.0</v>
      </c>
      <c r="M99" s="10">
        <v>20140.0</v>
      </c>
      <c r="N99" s="10">
        <v>140.0</v>
      </c>
      <c r="O99" s="10">
        <v>19720.0</v>
      </c>
      <c r="P99" s="10">
        <f t="shared" si="2"/>
        <v>32581</v>
      </c>
      <c r="Q99" s="10">
        <f t="shared" si="3"/>
        <v>19038</v>
      </c>
      <c r="R99" s="11">
        <f t="shared" si="4"/>
        <v>58.43282895</v>
      </c>
      <c r="S99" s="11">
        <f t="shared" si="5"/>
        <v>402</v>
      </c>
      <c r="T99" s="11">
        <f t="shared" si="6"/>
        <v>133</v>
      </c>
      <c r="U99" s="11">
        <f t="shared" si="7"/>
        <v>3.022556391</v>
      </c>
      <c r="V99" s="10">
        <f t="shared" si="8"/>
        <v>33805</v>
      </c>
      <c r="W99" s="10">
        <f t="shared" si="9"/>
        <v>20140</v>
      </c>
      <c r="X99" s="11">
        <f t="shared" si="10"/>
        <v>1.678500497</v>
      </c>
      <c r="Y99" s="10">
        <f t="shared" ref="Y99:Z99" si="109">S99+V99</f>
        <v>34207</v>
      </c>
      <c r="Z99" s="12">
        <f t="shared" si="109"/>
        <v>20273</v>
      </c>
      <c r="AA99" s="13">
        <f t="shared" si="12"/>
        <v>1.687318108</v>
      </c>
      <c r="AB99" s="14">
        <f t="shared" si="13"/>
        <v>73.85887637</v>
      </c>
      <c r="AC99" s="14"/>
      <c r="AD99" s="14"/>
      <c r="AE99" s="14"/>
    </row>
    <row r="100">
      <c r="A100" s="9" t="s">
        <v>28</v>
      </c>
      <c r="B100" s="9" t="s">
        <v>40</v>
      </c>
      <c r="C100" s="9" t="s">
        <v>30</v>
      </c>
      <c r="D100" s="9" t="s">
        <v>29</v>
      </c>
      <c r="E100" s="10">
        <v>1054.0</v>
      </c>
      <c r="F100" s="10">
        <v>1891.0</v>
      </c>
      <c r="G100" s="10">
        <v>438.0</v>
      </c>
      <c r="H100" s="10">
        <v>445.0</v>
      </c>
      <c r="I100" s="10">
        <v>438.0</v>
      </c>
      <c r="J100" s="10">
        <v>0.0</v>
      </c>
      <c r="K100" s="10">
        <v>876.0</v>
      </c>
      <c r="L100" s="10">
        <v>0.0</v>
      </c>
      <c r="M100" s="10">
        <v>890.0</v>
      </c>
      <c r="N100" s="10">
        <v>0.0</v>
      </c>
      <c r="O100" s="10">
        <v>876.0</v>
      </c>
      <c r="P100" s="10">
        <f t="shared" si="2"/>
        <v>1054</v>
      </c>
      <c r="Q100" s="10">
        <f t="shared" si="3"/>
        <v>445</v>
      </c>
      <c r="R100" s="11">
        <f t="shared" si="4"/>
        <v>42.22011385</v>
      </c>
      <c r="S100" s="11">
        <f t="shared" si="5"/>
        <v>0</v>
      </c>
      <c r="T100" s="11">
        <f t="shared" si="6"/>
        <v>0</v>
      </c>
      <c r="U100" s="11" t="str">
        <f t="shared" si="7"/>
        <v>#DIV/0!</v>
      </c>
      <c r="V100" s="10">
        <f t="shared" si="8"/>
        <v>890</v>
      </c>
      <c r="W100" s="10">
        <f t="shared" si="9"/>
        <v>890</v>
      </c>
      <c r="X100" s="11">
        <f t="shared" si="10"/>
        <v>1</v>
      </c>
      <c r="Y100" s="10">
        <f t="shared" ref="Y100:Z100" si="110">S100+V100</f>
        <v>890</v>
      </c>
      <c r="Z100" s="12">
        <f t="shared" si="110"/>
        <v>890</v>
      </c>
      <c r="AA100" s="13">
        <f t="shared" si="12"/>
        <v>1</v>
      </c>
      <c r="AB100" s="14">
        <f t="shared" si="13"/>
        <v>47.06504495</v>
      </c>
      <c r="AC100" s="14"/>
      <c r="AD100" s="14"/>
      <c r="AE100" s="14"/>
    </row>
    <row r="101">
      <c r="A101" s="9" t="s">
        <v>28</v>
      </c>
      <c r="B101" s="9" t="s">
        <v>41</v>
      </c>
      <c r="C101" s="9" t="s">
        <v>30</v>
      </c>
      <c r="D101" s="9" t="s">
        <v>29</v>
      </c>
      <c r="E101" s="10">
        <v>2460.0</v>
      </c>
      <c r="F101" s="10">
        <v>5760.0</v>
      </c>
      <c r="G101" s="10">
        <v>1024.0</v>
      </c>
      <c r="H101" s="10">
        <v>1045.0</v>
      </c>
      <c r="I101" s="10">
        <v>1024.0</v>
      </c>
      <c r="J101" s="10">
        <v>4.0</v>
      </c>
      <c r="K101" s="10">
        <v>2546.0</v>
      </c>
      <c r="L101" s="10">
        <v>4.0</v>
      </c>
      <c r="M101" s="10">
        <v>2602.0</v>
      </c>
      <c r="N101" s="10">
        <v>4.0</v>
      </c>
      <c r="O101" s="10">
        <v>2546.0</v>
      </c>
      <c r="P101" s="10">
        <f t="shared" si="2"/>
        <v>2460</v>
      </c>
      <c r="Q101" s="10">
        <f t="shared" si="3"/>
        <v>1045</v>
      </c>
      <c r="R101" s="11">
        <f t="shared" si="4"/>
        <v>42.4796748</v>
      </c>
      <c r="S101" s="11">
        <f t="shared" si="5"/>
        <v>4</v>
      </c>
      <c r="T101" s="11">
        <f t="shared" si="6"/>
        <v>4</v>
      </c>
      <c r="U101" s="11">
        <f t="shared" si="7"/>
        <v>1</v>
      </c>
      <c r="V101" s="10">
        <f t="shared" si="8"/>
        <v>2602</v>
      </c>
      <c r="W101" s="10">
        <f t="shared" si="9"/>
        <v>2602</v>
      </c>
      <c r="X101" s="11">
        <f t="shared" si="10"/>
        <v>1</v>
      </c>
      <c r="Y101" s="10">
        <f t="shared" ref="Y101:Z101" si="111">S101+V101</f>
        <v>2606</v>
      </c>
      <c r="Z101" s="12">
        <f t="shared" si="111"/>
        <v>2606</v>
      </c>
      <c r="AA101" s="13">
        <f t="shared" si="12"/>
        <v>1</v>
      </c>
      <c r="AB101" s="14">
        <f t="shared" si="13"/>
        <v>45.24305556</v>
      </c>
      <c r="AC101" s="14"/>
      <c r="AD101" s="14"/>
      <c r="AE101" s="14"/>
    </row>
    <row r="102">
      <c r="A102" s="9" t="s">
        <v>28</v>
      </c>
      <c r="B102" s="9" t="s">
        <v>41</v>
      </c>
      <c r="C102" s="9" t="s">
        <v>30</v>
      </c>
      <c r="D102" s="9" t="s">
        <v>29</v>
      </c>
      <c r="E102" s="10">
        <v>4200.0</v>
      </c>
      <c r="F102" s="10">
        <v>8400.0</v>
      </c>
      <c r="G102" s="10">
        <v>1762.0</v>
      </c>
      <c r="H102" s="10">
        <v>1097.0</v>
      </c>
      <c r="I102" s="10">
        <v>992.0</v>
      </c>
      <c r="J102" s="10">
        <v>0.0</v>
      </c>
      <c r="K102" s="10">
        <v>3524.0</v>
      </c>
      <c r="L102" s="10">
        <v>0.0</v>
      </c>
      <c r="M102" s="10">
        <v>2194.0</v>
      </c>
      <c r="N102" s="10">
        <v>0.0</v>
      </c>
      <c r="O102" s="10">
        <v>1984.0</v>
      </c>
      <c r="P102" s="10">
        <f t="shared" si="2"/>
        <v>4200</v>
      </c>
      <c r="Q102" s="10">
        <f t="shared" si="3"/>
        <v>1867</v>
      </c>
      <c r="R102" s="11">
        <f t="shared" si="4"/>
        <v>44.45238095</v>
      </c>
      <c r="S102" s="11">
        <f t="shared" si="5"/>
        <v>0</v>
      </c>
      <c r="T102" s="11">
        <f t="shared" si="6"/>
        <v>0</v>
      </c>
      <c r="U102" s="11" t="str">
        <f t="shared" si="7"/>
        <v>#DIV/0!</v>
      </c>
      <c r="V102" s="10">
        <f t="shared" si="8"/>
        <v>3734</v>
      </c>
      <c r="W102" s="10">
        <f t="shared" si="9"/>
        <v>2194</v>
      </c>
      <c r="X102" s="11">
        <f t="shared" si="10"/>
        <v>1.701914312</v>
      </c>
      <c r="Y102" s="10">
        <f t="shared" ref="Y102:Z102" si="112">S102+V102</f>
        <v>3734</v>
      </c>
      <c r="Z102" s="12">
        <f t="shared" si="112"/>
        <v>2194</v>
      </c>
      <c r="AA102" s="13">
        <f t="shared" si="12"/>
        <v>1.701914312</v>
      </c>
      <c r="AB102" s="14">
        <f t="shared" si="13"/>
        <v>44.45238095</v>
      </c>
      <c r="AC102" s="14"/>
      <c r="AD102" s="14"/>
      <c r="AE102" s="14"/>
    </row>
    <row r="103">
      <c r="A103" s="9" t="s">
        <v>28</v>
      </c>
      <c r="B103" s="9" t="s">
        <v>41</v>
      </c>
      <c r="C103" s="9" t="s">
        <v>30</v>
      </c>
      <c r="D103" s="9" t="s">
        <v>29</v>
      </c>
      <c r="E103" s="10">
        <v>660.0</v>
      </c>
      <c r="F103" s="10">
        <v>870.0</v>
      </c>
      <c r="G103" s="10">
        <v>199.0</v>
      </c>
      <c r="H103" s="10">
        <v>205.0</v>
      </c>
      <c r="I103" s="10">
        <v>199.0</v>
      </c>
      <c r="J103" s="10">
        <v>0.0</v>
      </c>
      <c r="K103" s="10">
        <v>283.0</v>
      </c>
      <c r="L103" s="10">
        <v>0.0</v>
      </c>
      <c r="M103" s="10">
        <v>289.0</v>
      </c>
      <c r="N103" s="10">
        <v>0.0</v>
      </c>
      <c r="O103" s="10">
        <v>283.0</v>
      </c>
      <c r="P103" s="10">
        <f t="shared" si="2"/>
        <v>660</v>
      </c>
      <c r="Q103" s="10">
        <f t="shared" si="3"/>
        <v>205</v>
      </c>
      <c r="R103" s="11">
        <f t="shared" si="4"/>
        <v>31.06060606</v>
      </c>
      <c r="S103" s="11">
        <f t="shared" si="5"/>
        <v>0</v>
      </c>
      <c r="T103" s="11">
        <f t="shared" si="6"/>
        <v>0</v>
      </c>
      <c r="U103" s="11" t="str">
        <f t="shared" si="7"/>
        <v>#DIV/0!</v>
      </c>
      <c r="V103" s="10">
        <f t="shared" si="8"/>
        <v>289</v>
      </c>
      <c r="W103" s="10">
        <f t="shared" si="9"/>
        <v>289</v>
      </c>
      <c r="X103" s="11">
        <f t="shared" si="10"/>
        <v>1</v>
      </c>
      <c r="Y103" s="10">
        <f t="shared" ref="Y103:Z103" si="113">S103+V103</f>
        <v>289</v>
      </c>
      <c r="Z103" s="12">
        <f t="shared" si="113"/>
        <v>289</v>
      </c>
      <c r="AA103" s="13">
        <f t="shared" si="12"/>
        <v>1</v>
      </c>
      <c r="AB103" s="14">
        <f t="shared" si="13"/>
        <v>33.2183908</v>
      </c>
      <c r="AC103" s="14"/>
      <c r="AD103" s="14"/>
      <c r="AE103" s="14"/>
    </row>
    <row r="104">
      <c r="A104" s="9" t="s">
        <v>28</v>
      </c>
      <c r="B104" s="9" t="s">
        <v>41</v>
      </c>
      <c r="C104" s="9" t="s">
        <v>30</v>
      </c>
      <c r="D104" s="9" t="s">
        <v>29</v>
      </c>
      <c r="E104" s="10">
        <v>1860.0</v>
      </c>
      <c r="F104" s="10">
        <v>3720.0</v>
      </c>
      <c r="G104" s="10">
        <v>1150.0</v>
      </c>
      <c r="H104" s="10">
        <v>657.0</v>
      </c>
      <c r="I104" s="10">
        <v>612.0</v>
      </c>
      <c r="J104" s="10">
        <v>0.0</v>
      </c>
      <c r="K104" s="10">
        <v>2300.0</v>
      </c>
      <c r="L104" s="10">
        <v>0.0</v>
      </c>
      <c r="M104" s="10">
        <v>1314.0</v>
      </c>
      <c r="N104" s="10">
        <v>0.0</v>
      </c>
      <c r="O104" s="10">
        <v>1224.0</v>
      </c>
      <c r="P104" s="10">
        <f t="shared" si="2"/>
        <v>1860</v>
      </c>
      <c r="Q104" s="10">
        <f t="shared" si="3"/>
        <v>1195</v>
      </c>
      <c r="R104" s="11">
        <f t="shared" si="4"/>
        <v>64.24731183</v>
      </c>
      <c r="S104" s="11">
        <f t="shared" si="5"/>
        <v>0</v>
      </c>
      <c r="T104" s="11">
        <f t="shared" si="6"/>
        <v>0</v>
      </c>
      <c r="U104" s="11" t="str">
        <f t="shared" si="7"/>
        <v>#DIV/0!</v>
      </c>
      <c r="V104" s="10">
        <f t="shared" si="8"/>
        <v>2390</v>
      </c>
      <c r="W104" s="10">
        <f t="shared" si="9"/>
        <v>1314</v>
      </c>
      <c r="X104" s="11">
        <f t="shared" si="10"/>
        <v>1.818873668</v>
      </c>
      <c r="Y104" s="10">
        <f t="shared" ref="Y104:Z104" si="114">S104+V104</f>
        <v>2390</v>
      </c>
      <c r="Z104" s="12">
        <f t="shared" si="114"/>
        <v>1314</v>
      </c>
      <c r="AA104" s="13">
        <f t="shared" si="12"/>
        <v>1.818873668</v>
      </c>
      <c r="AB104" s="14">
        <f t="shared" si="13"/>
        <v>64.24731183</v>
      </c>
      <c r="AC104" s="14"/>
      <c r="AD104" s="14"/>
      <c r="AE104" s="14"/>
    </row>
    <row r="105">
      <c r="A105" s="9" t="s">
        <v>28</v>
      </c>
      <c r="B105" s="9" t="s">
        <v>41</v>
      </c>
      <c r="C105" s="9" t="s">
        <v>30</v>
      </c>
      <c r="D105" s="9" t="s">
        <v>29</v>
      </c>
      <c r="E105" s="10">
        <v>2580.0</v>
      </c>
      <c r="F105" s="10">
        <v>3660.0</v>
      </c>
      <c r="G105" s="10">
        <v>916.0</v>
      </c>
      <c r="H105" s="10">
        <v>890.0</v>
      </c>
      <c r="I105" s="10">
        <v>872.0</v>
      </c>
      <c r="J105" s="10">
        <v>0.0</v>
      </c>
      <c r="K105" s="10">
        <v>5886.0</v>
      </c>
      <c r="L105" s="10">
        <v>0.0</v>
      </c>
      <c r="M105" s="10">
        <v>1784.0</v>
      </c>
      <c r="N105" s="10">
        <v>0.0</v>
      </c>
      <c r="O105" s="10">
        <v>1449.0</v>
      </c>
      <c r="P105" s="10">
        <f t="shared" si="2"/>
        <v>2580</v>
      </c>
      <c r="Q105" s="10">
        <f t="shared" si="3"/>
        <v>934</v>
      </c>
      <c r="R105" s="11">
        <f t="shared" si="4"/>
        <v>36.20155039</v>
      </c>
      <c r="S105" s="11">
        <f t="shared" si="5"/>
        <v>0</v>
      </c>
      <c r="T105" s="11">
        <f t="shared" si="6"/>
        <v>0</v>
      </c>
      <c r="U105" s="11" t="str">
        <f t="shared" si="7"/>
        <v>#DIV/0!</v>
      </c>
      <c r="V105" s="10">
        <f t="shared" si="8"/>
        <v>6221</v>
      </c>
      <c r="W105" s="10">
        <f t="shared" si="9"/>
        <v>1784</v>
      </c>
      <c r="X105" s="11">
        <f t="shared" si="10"/>
        <v>3.487107623</v>
      </c>
      <c r="Y105" s="10">
        <f t="shared" ref="Y105:Z105" si="115">S105+V105</f>
        <v>6221</v>
      </c>
      <c r="Z105" s="12">
        <f t="shared" si="115"/>
        <v>1784</v>
      </c>
      <c r="AA105" s="13">
        <f t="shared" si="12"/>
        <v>3.487107623</v>
      </c>
      <c r="AB105" s="14">
        <f t="shared" si="13"/>
        <v>169.9726776</v>
      </c>
      <c r="AC105" s="14"/>
      <c r="AD105" s="14"/>
      <c r="AE105" s="14"/>
    </row>
    <row r="106">
      <c r="A106" s="9" t="s">
        <v>28</v>
      </c>
      <c r="B106" s="9" t="s">
        <v>41</v>
      </c>
      <c r="C106" s="9" t="s">
        <v>30</v>
      </c>
      <c r="D106" s="9" t="s">
        <v>29</v>
      </c>
      <c r="E106" s="10">
        <v>5040.0</v>
      </c>
      <c r="F106" s="10">
        <v>7080.0</v>
      </c>
      <c r="G106" s="10">
        <v>2727.0</v>
      </c>
      <c r="H106" s="10">
        <v>2529.0</v>
      </c>
      <c r="I106" s="10">
        <v>2456.0</v>
      </c>
      <c r="J106" s="10">
        <v>0.0</v>
      </c>
      <c r="K106" s="10">
        <v>7793.0</v>
      </c>
      <c r="L106" s="10">
        <v>0.0</v>
      </c>
      <c r="M106" s="10">
        <v>4643.0</v>
      </c>
      <c r="N106" s="10">
        <v>0.0</v>
      </c>
      <c r="O106" s="10">
        <v>4222.0</v>
      </c>
      <c r="P106" s="10">
        <f t="shared" si="2"/>
        <v>5040</v>
      </c>
      <c r="Q106" s="10">
        <f t="shared" si="3"/>
        <v>2800</v>
      </c>
      <c r="R106" s="11">
        <f t="shared" si="4"/>
        <v>55.55555556</v>
      </c>
      <c r="S106" s="11">
        <f t="shared" si="5"/>
        <v>0</v>
      </c>
      <c r="T106" s="11">
        <f t="shared" si="6"/>
        <v>0</v>
      </c>
      <c r="U106" s="11" t="str">
        <f t="shared" si="7"/>
        <v>#DIV/0!</v>
      </c>
      <c r="V106" s="10">
        <f t="shared" si="8"/>
        <v>8214</v>
      </c>
      <c r="W106" s="10">
        <f t="shared" si="9"/>
        <v>4643</v>
      </c>
      <c r="X106" s="11">
        <f t="shared" si="10"/>
        <v>1.769114796</v>
      </c>
      <c r="Y106" s="10">
        <f t="shared" ref="Y106:Z106" si="116">S106+V106</f>
        <v>8214</v>
      </c>
      <c r="Z106" s="12">
        <f t="shared" si="116"/>
        <v>4643</v>
      </c>
      <c r="AA106" s="13">
        <f t="shared" si="12"/>
        <v>1.769114796</v>
      </c>
      <c r="AB106" s="14">
        <f t="shared" si="13"/>
        <v>116.0169492</v>
      </c>
      <c r="AC106" s="14"/>
      <c r="AD106" s="14"/>
      <c r="AE106" s="14"/>
    </row>
    <row r="107">
      <c r="A107" s="9" t="s">
        <v>28</v>
      </c>
      <c r="B107" s="9" t="s">
        <v>41</v>
      </c>
      <c r="C107" s="9" t="s">
        <v>30</v>
      </c>
      <c r="D107" s="9" t="s">
        <v>29</v>
      </c>
      <c r="E107" s="10">
        <v>39000.0</v>
      </c>
      <c r="F107" s="10">
        <v>57420.0</v>
      </c>
      <c r="G107" s="10">
        <v>21283.0</v>
      </c>
      <c r="H107" s="10">
        <v>16266.0</v>
      </c>
      <c r="I107" s="10">
        <v>15909.0</v>
      </c>
      <c r="J107" s="10">
        <v>77.0</v>
      </c>
      <c r="K107" s="10">
        <v>42466.0</v>
      </c>
      <c r="L107" s="10">
        <v>32.0</v>
      </c>
      <c r="M107" s="10">
        <v>28306.0</v>
      </c>
      <c r="N107" s="10">
        <v>31.0</v>
      </c>
      <c r="O107" s="10">
        <v>27324.0</v>
      </c>
      <c r="P107" s="10">
        <f t="shared" si="2"/>
        <v>39000</v>
      </c>
      <c r="Q107" s="10">
        <f t="shared" si="3"/>
        <v>21640</v>
      </c>
      <c r="R107" s="11">
        <f t="shared" si="4"/>
        <v>55.48717949</v>
      </c>
      <c r="S107" s="11">
        <f t="shared" si="5"/>
        <v>78</v>
      </c>
      <c r="T107" s="11">
        <f t="shared" si="6"/>
        <v>32</v>
      </c>
      <c r="U107" s="11">
        <f t="shared" si="7"/>
        <v>2.4375</v>
      </c>
      <c r="V107" s="10">
        <f t="shared" si="8"/>
        <v>43448</v>
      </c>
      <c r="W107" s="10">
        <f t="shared" si="9"/>
        <v>28306</v>
      </c>
      <c r="X107" s="11">
        <f t="shared" si="10"/>
        <v>1.534939589</v>
      </c>
      <c r="Y107" s="10">
        <f t="shared" ref="Y107:Z107" si="117">S107+V107</f>
        <v>43526</v>
      </c>
      <c r="Z107" s="12">
        <f t="shared" si="117"/>
        <v>28338</v>
      </c>
      <c r="AA107" s="13">
        <f t="shared" si="12"/>
        <v>1.535958783</v>
      </c>
      <c r="AB107" s="14">
        <f t="shared" si="13"/>
        <v>75.80285615</v>
      </c>
      <c r="AC107" s="14"/>
      <c r="AD107" s="14"/>
      <c r="AE107" s="14"/>
    </row>
    <row r="108">
      <c r="A108" s="9" t="s">
        <v>28</v>
      </c>
      <c r="B108" s="9" t="s">
        <v>41</v>
      </c>
      <c r="C108" s="9" t="s">
        <v>30</v>
      </c>
      <c r="D108" s="9" t="s">
        <v>29</v>
      </c>
      <c r="E108" s="10">
        <v>31530.0</v>
      </c>
      <c r="F108" s="10">
        <v>44970.0</v>
      </c>
      <c r="G108" s="10">
        <v>18335.0</v>
      </c>
      <c r="H108" s="10">
        <v>12498.0</v>
      </c>
      <c r="I108" s="10">
        <v>12217.0</v>
      </c>
      <c r="J108" s="10">
        <v>220.0</v>
      </c>
      <c r="K108" s="10">
        <v>38366.0</v>
      </c>
      <c r="L108" s="10">
        <v>128.0</v>
      </c>
      <c r="M108" s="10">
        <v>22080.0</v>
      </c>
      <c r="N108" s="10">
        <v>121.0</v>
      </c>
      <c r="O108" s="10">
        <v>21381.0</v>
      </c>
      <c r="P108" s="10">
        <f t="shared" si="2"/>
        <v>31530</v>
      </c>
      <c r="Q108" s="10">
        <f t="shared" si="3"/>
        <v>18616</v>
      </c>
      <c r="R108" s="11">
        <f t="shared" si="4"/>
        <v>59.04218205</v>
      </c>
      <c r="S108" s="11">
        <f t="shared" si="5"/>
        <v>227</v>
      </c>
      <c r="T108" s="11">
        <f t="shared" si="6"/>
        <v>128</v>
      </c>
      <c r="U108" s="11">
        <f t="shared" si="7"/>
        <v>1.7734375</v>
      </c>
      <c r="V108" s="10">
        <f t="shared" si="8"/>
        <v>39065</v>
      </c>
      <c r="W108" s="10">
        <f t="shared" si="9"/>
        <v>22080</v>
      </c>
      <c r="X108" s="11">
        <f t="shared" si="10"/>
        <v>1.769248188</v>
      </c>
      <c r="Y108" s="10">
        <f t="shared" ref="Y108:Z108" si="118">S108+V108</f>
        <v>39292</v>
      </c>
      <c r="Z108" s="12">
        <f t="shared" si="118"/>
        <v>22208</v>
      </c>
      <c r="AA108" s="13">
        <f t="shared" si="12"/>
        <v>1.769272334</v>
      </c>
      <c r="AB108" s="14">
        <f t="shared" si="13"/>
        <v>87.37380476</v>
      </c>
      <c r="AC108" s="14"/>
      <c r="AD108" s="14"/>
      <c r="AE108" s="14"/>
    </row>
    <row r="109">
      <c r="A109" s="9" t="s">
        <v>28</v>
      </c>
      <c r="B109" s="9" t="s">
        <v>41</v>
      </c>
      <c r="C109" s="9" t="s">
        <v>30</v>
      </c>
      <c r="D109" s="9" t="s">
        <v>29</v>
      </c>
      <c r="E109" s="10">
        <v>1020.0</v>
      </c>
      <c r="F109" s="10">
        <v>1830.0</v>
      </c>
      <c r="G109" s="10">
        <v>475.0</v>
      </c>
      <c r="H109" s="10">
        <v>482.0</v>
      </c>
      <c r="I109" s="10">
        <v>475.0</v>
      </c>
      <c r="J109" s="10">
        <v>0.0</v>
      </c>
      <c r="K109" s="10">
        <v>950.0</v>
      </c>
      <c r="L109" s="10">
        <v>0.0</v>
      </c>
      <c r="M109" s="10">
        <v>964.0</v>
      </c>
      <c r="N109" s="10">
        <v>0.0</v>
      </c>
      <c r="O109" s="10">
        <v>950.0</v>
      </c>
      <c r="P109" s="10">
        <f t="shared" si="2"/>
        <v>1020</v>
      </c>
      <c r="Q109" s="10">
        <f t="shared" si="3"/>
        <v>482</v>
      </c>
      <c r="R109" s="11">
        <f t="shared" si="4"/>
        <v>47.25490196</v>
      </c>
      <c r="S109" s="11">
        <f t="shared" si="5"/>
        <v>0</v>
      </c>
      <c r="T109" s="11">
        <f t="shared" si="6"/>
        <v>0</v>
      </c>
      <c r="U109" s="11" t="str">
        <f t="shared" si="7"/>
        <v>#DIV/0!</v>
      </c>
      <c r="V109" s="10">
        <f t="shared" si="8"/>
        <v>964</v>
      </c>
      <c r="W109" s="10">
        <f t="shared" si="9"/>
        <v>964</v>
      </c>
      <c r="X109" s="11">
        <f t="shared" si="10"/>
        <v>1</v>
      </c>
      <c r="Y109" s="10">
        <f t="shared" ref="Y109:Z109" si="119">S109+V109</f>
        <v>964</v>
      </c>
      <c r="Z109" s="12">
        <f t="shared" si="119"/>
        <v>964</v>
      </c>
      <c r="AA109" s="13">
        <f t="shared" si="12"/>
        <v>1</v>
      </c>
      <c r="AB109" s="14">
        <f t="shared" si="13"/>
        <v>52.67759563</v>
      </c>
      <c r="AC109" s="14"/>
      <c r="AD109" s="14"/>
      <c r="AE109" s="14"/>
    </row>
    <row r="110">
      <c r="F110" s="15"/>
      <c r="G110" s="15"/>
      <c r="H110" s="15"/>
      <c r="K110" s="16"/>
      <c r="R110" s="17"/>
      <c r="S110" s="17"/>
      <c r="T110" s="17"/>
      <c r="U110" s="17"/>
      <c r="V110" s="18"/>
      <c r="W110" s="18"/>
      <c r="X110" s="17"/>
      <c r="Y110" s="18"/>
      <c r="Z110" s="19"/>
      <c r="AB110" s="20"/>
      <c r="AC110" s="15"/>
      <c r="AD110" s="15"/>
    </row>
    <row r="111">
      <c r="F111" s="15"/>
      <c r="G111" s="15"/>
      <c r="H111" s="15"/>
      <c r="K111" s="16"/>
      <c r="R111" s="17"/>
      <c r="S111" s="17"/>
      <c r="T111" s="17"/>
      <c r="U111" s="17"/>
      <c r="V111" s="18"/>
      <c r="W111" s="18"/>
      <c r="X111" s="17"/>
      <c r="Y111" s="18"/>
      <c r="Z111" s="19"/>
      <c r="AB111" s="20"/>
      <c r="AC111" s="15"/>
      <c r="AD111" s="15"/>
    </row>
    <row r="112">
      <c r="F112" s="15"/>
      <c r="G112" s="15"/>
      <c r="H112" s="15"/>
      <c r="K112" s="16"/>
      <c r="R112" s="17"/>
      <c r="S112" s="17"/>
      <c r="T112" s="17"/>
      <c r="U112" s="17"/>
      <c r="V112" s="18"/>
      <c r="W112" s="18"/>
      <c r="X112" s="17"/>
      <c r="Y112" s="18"/>
      <c r="Z112" s="19"/>
      <c r="AB112" s="20"/>
      <c r="AC112" s="15"/>
      <c r="AD112" s="15"/>
    </row>
    <row r="113">
      <c r="F113" s="15"/>
      <c r="G113" s="15"/>
      <c r="H113" s="15"/>
      <c r="K113" s="16"/>
      <c r="R113" s="17"/>
      <c r="S113" s="17"/>
      <c r="T113" s="17"/>
      <c r="U113" s="17"/>
      <c r="V113" s="18"/>
      <c r="W113" s="18"/>
      <c r="X113" s="17"/>
      <c r="Y113" s="18"/>
      <c r="Z113" s="19"/>
      <c r="AB113" s="20"/>
      <c r="AC113" s="15"/>
      <c r="AD113" s="15"/>
    </row>
    <row r="114">
      <c r="F114" s="15"/>
      <c r="G114" s="15"/>
      <c r="H114" s="15"/>
      <c r="K114" s="16"/>
      <c r="R114" s="17"/>
      <c r="S114" s="17"/>
      <c r="T114" s="17"/>
      <c r="U114" s="17"/>
      <c r="V114" s="18"/>
      <c r="W114" s="18"/>
      <c r="X114" s="17"/>
      <c r="Y114" s="18"/>
      <c r="Z114" s="19"/>
      <c r="AB114" s="20"/>
      <c r="AC114" s="15"/>
      <c r="AD114" s="15"/>
    </row>
    <row r="115">
      <c r="F115" s="15"/>
      <c r="G115" s="15"/>
      <c r="H115" s="15"/>
      <c r="K115" s="16"/>
      <c r="R115" s="17"/>
      <c r="S115" s="17"/>
      <c r="T115" s="17"/>
      <c r="U115" s="17"/>
      <c r="V115" s="18"/>
      <c r="W115" s="18"/>
      <c r="X115" s="17"/>
      <c r="Y115" s="18"/>
      <c r="Z115" s="19"/>
      <c r="AB115" s="20"/>
      <c r="AC115" s="15"/>
      <c r="AD115" s="15"/>
    </row>
    <row r="116">
      <c r="F116" s="15"/>
      <c r="G116" s="15"/>
      <c r="H116" s="15"/>
      <c r="K116" s="16"/>
      <c r="R116" s="17"/>
      <c r="S116" s="17"/>
      <c r="T116" s="17"/>
      <c r="U116" s="17"/>
      <c r="V116" s="18"/>
      <c r="W116" s="18"/>
      <c r="X116" s="17"/>
      <c r="Y116" s="18"/>
      <c r="Z116" s="19"/>
      <c r="AB116" s="20"/>
      <c r="AC116" s="15"/>
      <c r="AD116" s="15"/>
    </row>
    <row r="117">
      <c r="F117" s="15"/>
      <c r="G117" s="15"/>
      <c r="H117" s="15"/>
      <c r="K117" s="16"/>
      <c r="R117" s="17"/>
      <c r="S117" s="17"/>
      <c r="T117" s="17"/>
      <c r="U117" s="17"/>
      <c r="V117" s="18"/>
      <c r="W117" s="18"/>
      <c r="X117" s="17"/>
      <c r="Y117" s="18"/>
      <c r="Z117" s="19"/>
      <c r="AB117" s="20"/>
      <c r="AC117" s="15"/>
      <c r="AD117" s="15"/>
    </row>
    <row r="118">
      <c r="F118" s="15"/>
      <c r="G118" s="15"/>
      <c r="H118" s="15"/>
      <c r="K118" s="16"/>
      <c r="R118" s="17"/>
      <c r="S118" s="17"/>
      <c r="T118" s="17"/>
      <c r="U118" s="17"/>
      <c r="V118" s="18"/>
      <c r="W118" s="18"/>
      <c r="X118" s="17"/>
      <c r="Y118" s="18"/>
      <c r="Z118" s="19"/>
      <c r="AB118" s="20"/>
      <c r="AC118" s="15"/>
      <c r="AD118" s="15"/>
    </row>
    <row r="119">
      <c r="F119" s="15"/>
      <c r="G119" s="15"/>
      <c r="H119" s="15"/>
      <c r="K119" s="16"/>
      <c r="R119" s="17"/>
      <c r="S119" s="17"/>
      <c r="T119" s="17"/>
      <c r="U119" s="17"/>
      <c r="V119" s="18"/>
      <c r="W119" s="18"/>
      <c r="X119" s="17"/>
      <c r="Y119" s="18"/>
      <c r="Z119" s="19"/>
      <c r="AB119" s="20"/>
      <c r="AC119" s="15"/>
      <c r="AD119" s="15"/>
    </row>
    <row r="120">
      <c r="F120" s="15"/>
      <c r="G120" s="15"/>
      <c r="H120" s="15"/>
      <c r="K120" s="16"/>
      <c r="R120" s="17"/>
      <c r="S120" s="17"/>
      <c r="T120" s="17"/>
      <c r="U120" s="17"/>
      <c r="V120" s="18"/>
      <c r="W120" s="18"/>
      <c r="X120" s="17"/>
      <c r="Y120" s="18"/>
      <c r="Z120" s="19"/>
      <c r="AB120" s="20"/>
      <c r="AC120" s="15"/>
      <c r="AD120" s="15"/>
    </row>
    <row r="121">
      <c r="F121" s="15"/>
      <c r="G121" s="15"/>
      <c r="H121" s="15"/>
      <c r="K121" s="16"/>
      <c r="R121" s="17"/>
      <c r="S121" s="17"/>
      <c r="T121" s="17"/>
      <c r="U121" s="17"/>
      <c r="V121" s="18"/>
      <c r="W121" s="18"/>
      <c r="X121" s="17"/>
      <c r="Y121" s="18"/>
      <c r="Z121" s="19"/>
      <c r="AB121" s="20"/>
      <c r="AC121" s="15"/>
      <c r="AD121" s="15"/>
    </row>
    <row r="122">
      <c r="F122" s="15"/>
      <c r="G122" s="15"/>
      <c r="H122" s="15"/>
      <c r="K122" s="16"/>
      <c r="R122" s="17"/>
      <c r="S122" s="17"/>
      <c r="T122" s="17"/>
      <c r="U122" s="17"/>
      <c r="V122" s="18"/>
      <c r="W122" s="18"/>
      <c r="X122" s="17"/>
      <c r="Y122" s="18"/>
      <c r="Z122" s="19"/>
      <c r="AB122" s="20"/>
      <c r="AC122" s="15"/>
      <c r="AD122" s="15"/>
    </row>
    <row r="123">
      <c r="F123" s="15"/>
      <c r="G123" s="15"/>
      <c r="H123" s="15"/>
      <c r="K123" s="16"/>
      <c r="R123" s="17"/>
      <c r="S123" s="17"/>
      <c r="T123" s="17"/>
      <c r="U123" s="17"/>
      <c r="V123" s="18"/>
      <c r="W123" s="18"/>
      <c r="X123" s="17"/>
      <c r="Y123" s="18"/>
      <c r="Z123" s="19"/>
      <c r="AB123" s="20"/>
      <c r="AC123" s="15"/>
      <c r="AD123" s="15"/>
    </row>
    <row r="124">
      <c r="F124" s="15"/>
      <c r="G124" s="15"/>
      <c r="H124" s="15"/>
      <c r="K124" s="16"/>
      <c r="R124" s="17"/>
      <c r="S124" s="17"/>
      <c r="T124" s="17"/>
      <c r="U124" s="17"/>
      <c r="V124" s="18"/>
      <c r="W124" s="18"/>
      <c r="X124" s="17"/>
      <c r="Y124" s="18"/>
      <c r="Z124" s="19"/>
      <c r="AB124" s="20"/>
      <c r="AC124" s="15"/>
      <c r="AD124" s="15"/>
    </row>
    <row r="125">
      <c r="F125" s="15"/>
      <c r="G125" s="15"/>
      <c r="H125" s="15"/>
      <c r="K125" s="16"/>
      <c r="R125" s="17"/>
      <c r="S125" s="17"/>
      <c r="T125" s="17"/>
      <c r="U125" s="17"/>
      <c r="V125" s="18"/>
      <c r="W125" s="18"/>
      <c r="X125" s="17"/>
      <c r="Y125" s="18"/>
      <c r="Z125" s="19"/>
      <c r="AB125" s="20"/>
      <c r="AC125" s="15"/>
      <c r="AD125" s="15"/>
    </row>
    <row r="126">
      <c r="F126" s="15"/>
      <c r="G126" s="15"/>
      <c r="H126" s="15"/>
      <c r="K126" s="16"/>
      <c r="R126" s="17"/>
      <c r="S126" s="17"/>
      <c r="T126" s="17"/>
      <c r="U126" s="17"/>
      <c r="V126" s="18"/>
      <c r="W126" s="18"/>
      <c r="X126" s="17"/>
      <c r="Y126" s="18"/>
      <c r="Z126" s="19"/>
      <c r="AB126" s="20"/>
      <c r="AC126" s="15"/>
      <c r="AD126" s="15"/>
    </row>
    <row r="127">
      <c r="F127" s="15"/>
      <c r="G127" s="15"/>
      <c r="H127" s="15"/>
      <c r="K127" s="16"/>
      <c r="R127" s="17"/>
      <c r="S127" s="17"/>
      <c r="T127" s="17"/>
      <c r="U127" s="17"/>
      <c r="V127" s="18"/>
      <c r="W127" s="18"/>
      <c r="X127" s="17"/>
      <c r="Y127" s="18"/>
      <c r="Z127" s="19"/>
      <c r="AB127" s="20"/>
      <c r="AC127" s="15"/>
      <c r="AD127" s="15"/>
    </row>
    <row r="128">
      <c r="F128" s="15"/>
      <c r="G128" s="15"/>
      <c r="H128" s="15"/>
      <c r="K128" s="16"/>
      <c r="R128" s="17"/>
      <c r="S128" s="17"/>
      <c r="T128" s="17"/>
      <c r="U128" s="17"/>
      <c r="V128" s="18"/>
      <c r="W128" s="18"/>
      <c r="X128" s="17"/>
      <c r="Y128" s="18"/>
      <c r="Z128" s="19"/>
      <c r="AB128" s="20"/>
      <c r="AC128" s="15"/>
      <c r="AD128" s="15"/>
    </row>
    <row r="129">
      <c r="F129" s="15"/>
      <c r="G129" s="15"/>
      <c r="H129" s="15"/>
      <c r="K129" s="16"/>
      <c r="R129" s="17"/>
      <c r="S129" s="17"/>
      <c r="T129" s="17"/>
      <c r="U129" s="17"/>
      <c r="V129" s="18"/>
      <c r="W129" s="18"/>
      <c r="X129" s="17"/>
      <c r="Y129" s="18"/>
      <c r="Z129" s="19"/>
      <c r="AB129" s="20"/>
      <c r="AC129" s="15"/>
      <c r="AD129" s="15"/>
    </row>
    <row r="130">
      <c r="F130" s="15"/>
      <c r="G130" s="15"/>
      <c r="H130" s="15"/>
      <c r="K130" s="16"/>
      <c r="R130" s="17"/>
      <c r="S130" s="17"/>
      <c r="T130" s="17"/>
      <c r="U130" s="17"/>
      <c r="V130" s="18"/>
      <c r="W130" s="18"/>
      <c r="X130" s="17"/>
      <c r="Y130" s="18"/>
      <c r="Z130" s="19"/>
      <c r="AB130" s="20"/>
      <c r="AC130" s="15"/>
      <c r="AD130" s="15"/>
    </row>
    <row r="131">
      <c r="F131" s="15"/>
      <c r="G131" s="15"/>
      <c r="H131" s="15"/>
      <c r="K131" s="16"/>
      <c r="R131" s="17"/>
      <c r="S131" s="17"/>
      <c r="T131" s="17"/>
      <c r="U131" s="17"/>
      <c r="V131" s="18"/>
      <c r="W131" s="18"/>
      <c r="X131" s="17"/>
      <c r="Y131" s="18"/>
      <c r="Z131" s="19"/>
      <c r="AB131" s="20"/>
      <c r="AC131" s="15"/>
      <c r="AD131" s="15"/>
    </row>
    <row r="132">
      <c r="F132" s="15"/>
      <c r="G132" s="15"/>
      <c r="H132" s="15"/>
      <c r="K132" s="16"/>
      <c r="R132" s="17"/>
      <c r="S132" s="17"/>
      <c r="T132" s="17"/>
      <c r="U132" s="17"/>
      <c r="V132" s="18"/>
      <c r="W132" s="18"/>
      <c r="X132" s="17"/>
      <c r="Y132" s="18"/>
      <c r="Z132" s="19"/>
      <c r="AB132" s="20"/>
      <c r="AC132" s="15"/>
      <c r="AD132" s="15"/>
    </row>
    <row r="133">
      <c r="F133" s="15"/>
      <c r="G133" s="15"/>
      <c r="H133" s="15"/>
      <c r="K133" s="16"/>
      <c r="R133" s="17"/>
      <c r="S133" s="17"/>
      <c r="T133" s="17"/>
      <c r="U133" s="17"/>
      <c r="V133" s="18"/>
      <c r="W133" s="18"/>
      <c r="X133" s="17"/>
      <c r="Y133" s="18"/>
      <c r="Z133" s="19"/>
      <c r="AB133" s="20"/>
      <c r="AC133" s="15"/>
      <c r="AD133" s="15"/>
    </row>
    <row r="134">
      <c r="F134" s="15"/>
      <c r="G134" s="15"/>
      <c r="H134" s="15"/>
      <c r="K134" s="16"/>
      <c r="R134" s="17"/>
      <c r="S134" s="17"/>
      <c r="T134" s="17"/>
      <c r="U134" s="17"/>
      <c r="V134" s="18"/>
      <c r="W134" s="18"/>
      <c r="X134" s="17"/>
      <c r="Y134" s="18"/>
      <c r="Z134" s="19"/>
      <c r="AB134" s="20"/>
      <c r="AC134" s="15"/>
      <c r="AD134" s="15"/>
    </row>
    <row r="135">
      <c r="F135" s="15"/>
      <c r="G135" s="15"/>
      <c r="H135" s="15"/>
      <c r="K135" s="16"/>
      <c r="R135" s="17"/>
      <c r="S135" s="17"/>
      <c r="T135" s="17"/>
      <c r="U135" s="17"/>
      <c r="V135" s="18"/>
      <c r="W135" s="18"/>
      <c r="X135" s="17"/>
      <c r="Y135" s="18"/>
      <c r="Z135" s="19"/>
      <c r="AB135" s="20"/>
      <c r="AC135" s="15"/>
      <c r="AD135" s="15"/>
    </row>
    <row r="136">
      <c r="F136" s="15"/>
      <c r="G136" s="15"/>
      <c r="H136" s="15"/>
      <c r="K136" s="16"/>
      <c r="R136" s="17"/>
      <c r="S136" s="17"/>
      <c r="T136" s="17"/>
      <c r="U136" s="17"/>
      <c r="V136" s="18"/>
      <c r="W136" s="18"/>
      <c r="X136" s="17"/>
      <c r="Y136" s="18"/>
      <c r="Z136" s="19"/>
      <c r="AB136" s="20"/>
      <c r="AC136" s="15"/>
      <c r="AD136" s="15"/>
    </row>
    <row r="137">
      <c r="F137" s="15"/>
      <c r="G137" s="15"/>
      <c r="H137" s="15"/>
      <c r="K137" s="16"/>
      <c r="R137" s="17"/>
      <c r="S137" s="17"/>
      <c r="T137" s="17"/>
      <c r="U137" s="17"/>
      <c r="V137" s="18"/>
      <c r="W137" s="18"/>
      <c r="X137" s="17"/>
      <c r="Y137" s="18"/>
      <c r="Z137" s="19"/>
      <c r="AB137" s="20"/>
      <c r="AC137" s="15"/>
      <c r="AD137" s="15"/>
    </row>
    <row r="138">
      <c r="F138" s="15"/>
      <c r="G138" s="15"/>
      <c r="H138" s="15"/>
      <c r="K138" s="16"/>
      <c r="R138" s="17"/>
      <c r="S138" s="17"/>
      <c r="T138" s="17"/>
      <c r="U138" s="17"/>
      <c r="V138" s="18"/>
      <c r="W138" s="18"/>
      <c r="X138" s="17"/>
      <c r="Y138" s="18"/>
      <c r="Z138" s="19"/>
      <c r="AB138" s="20"/>
      <c r="AC138" s="15"/>
      <c r="AD138" s="15"/>
    </row>
    <row r="139">
      <c r="F139" s="15"/>
      <c r="G139" s="15"/>
      <c r="H139" s="15"/>
      <c r="K139" s="16"/>
      <c r="R139" s="17"/>
      <c r="S139" s="17"/>
      <c r="T139" s="17"/>
      <c r="U139" s="17"/>
      <c r="V139" s="18"/>
      <c r="W139" s="18"/>
      <c r="X139" s="17"/>
      <c r="Y139" s="18"/>
      <c r="Z139" s="19"/>
      <c r="AB139" s="20"/>
      <c r="AC139" s="15"/>
      <c r="AD139" s="15"/>
    </row>
    <row r="140">
      <c r="F140" s="15"/>
      <c r="G140" s="15"/>
      <c r="H140" s="15"/>
      <c r="K140" s="16"/>
      <c r="R140" s="17"/>
      <c r="S140" s="17"/>
      <c r="T140" s="17"/>
      <c r="U140" s="17"/>
      <c r="V140" s="18"/>
      <c r="W140" s="18"/>
      <c r="X140" s="17"/>
      <c r="Y140" s="18"/>
      <c r="Z140" s="19"/>
      <c r="AB140" s="20"/>
      <c r="AC140" s="15"/>
      <c r="AD140" s="15"/>
    </row>
    <row r="141">
      <c r="F141" s="15"/>
      <c r="G141" s="15"/>
      <c r="H141" s="15"/>
      <c r="K141" s="16"/>
      <c r="R141" s="17"/>
      <c r="S141" s="17"/>
      <c r="T141" s="17"/>
      <c r="U141" s="17"/>
      <c r="V141" s="18"/>
      <c r="W141" s="18"/>
      <c r="X141" s="17"/>
      <c r="Y141" s="18"/>
      <c r="Z141" s="19"/>
      <c r="AB141" s="20"/>
      <c r="AC141" s="15"/>
      <c r="AD141" s="15"/>
    </row>
    <row r="142">
      <c r="F142" s="15"/>
      <c r="G142" s="15"/>
      <c r="H142" s="15"/>
      <c r="K142" s="16"/>
      <c r="R142" s="17"/>
      <c r="S142" s="17"/>
      <c r="T142" s="17"/>
      <c r="U142" s="17"/>
      <c r="V142" s="18"/>
      <c r="W142" s="18"/>
      <c r="X142" s="17"/>
      <c r="Y142" s="18"/>
      <c r="Z142" s="19"/>
      <c r="AB142" s="20"/>
      <c r="AC142" s="15"/>
      <c r="AD142" s="15"/>
    </row>
    <row r="143">
      <c r="F143" s="15"/>
      <c r="G143" s="15"/>
      <c r="H143" s="15"/>
      <c r="K143" s="16"/>
      <c r="R143" s="17"/>
      <c r="S143" s="17"/>
      <c r="T143" s="17"/>
      <c r="U143" s="17"/>
      <c r="V143" s="18"/>
      <c r="W143" s="18"/>
      <c r="X143" s="17"/>
      <c r="Y143" s="18"/>
      <c r="Z143" s="19"/>
      <c r="AB143" s="20"/>
      <c r="AC143" s="15"/>
      <c r="AD143" s="15"/>
    </row>
    <row r="144">
      <c r="F144" s="15"/>
      <c r="G144" s="15"/>
      <c r="H144" s="15"/>
      <c r="K144" s="16"/>
      <c r="R144" s="17"/>
      <c r="S144" s="17"/>
      <c r="T144" s="17"/>
      <c r="U144" s="17"/>
      <c r="V144" s="18"/>
      <c r="W144" s="18"/>
      <c r="X144" s="17"/>
      <c r="Y144" s="18"/>
      <c r="Z144" s="19"/>
      <c r="AB144" s="20"/>
      <c r="AC144" s="15"/>
      <c r="AD144" s="15"/>
    </row>
    <row r="145">
      <c r="F145" s="15"/>
      <c r="G145" s="15"/>
      <c r="H145" s="15"/>
      <c r="K145" s="16"/>
      <c r="R145" s="17"/>
      <c r="S145" s="17"/>
      <c r="T145" s="17"/>
      <c r="U145" s="17"/>
      <c r="V145" s="18"/>
      <c r="W145" s="18"/>
      <c r="X145" s="17"/>
      <c r="Y145" s="18"/>
      <c r="Z145" s="19"/>
      <c r="AB145" s="20"/>
      <c r="AC145" s="15"/>
      <c r="AD145" s="15"/>
    </row>
    <row r="146">
      <c r="F146" s="15"/>
      <c r="G146" s="15"/>
      <c r="H146" s="15"/>
      <c r="K146" s="16"/>
      <c r="R146" s="17"/>
      <c r="S146" s="17"/>
      <c r="T146" s="17"/>
      <c r="U146" s="17"/>
      <c r="V146" s="18"/>
      <c r="W146" s="18"/>
      <c r="X146" s="17"/>
      <c r="Y146" s="18"/>
      <c r="Z146" s="19"/>
      <c r="AB146" s="20"/>
      <c r="AC146" s="15"/>
      <c r="AD146" s="15"/>
    </row>
    <row r="147">
      <c r="F147" s="15"/>
      <c r="G147" s="15"/>
      <c r="H147" s="15"/>
      <c r="K147" s="16"/>
      <c r="R147" s="17"/>
      <c r="S147" s="17"/>
      <c r="T147" s="17"/>
      <c r="U147" s="17"/>
      <c r="V147" s="18"/>
      <c r="W147" s="18"/>
      <c r="X147" s="17"/>
      <c r="Y147" s="18"/>
      <c r="Z147" s="19"/>
      <c r="AB147" s="20"/>
      <c r="AC147" s="15"/>
      <c r="AD147" s="15"/>
    </row>
    <row r="148">
      <c r="F148" s="15"/>
      <c r="G148" s="15"/>
      <c r="H148" s="15"/>
      <c r="K148" s="16"/>
      <c r="R148" s="17"/>
      <c r="S148" s="17"/>
      <c r="T148" s="17"/>
      <c r="U148" s="17"/>
      <c r="V148" s="18"/>
      <c r="W148" s="18"/>
      <c r="X148" s="17"/>
      <c r="Y148" s="18"/>
      <c r="Z148" s="19"/>
      <c r="AB148" s="20"/>
      <c r="AC148" s="15"/>
      <c r="AD148" s="15"/>
    </row>
    <row r="149">
      <c r="F149" s="15"/>
      <c r="G149" s="15"/>
      <c r="H149" s="15"/>
      <c r="K149" s="16"/>
      <c r="R149" s="17"/>
      <c r="S149" s="17"/>
      <c r="T149" s="17"/>
      <c r="U149" s="17"/>
      <c r="V149" s="18"/>
      <c r="W149" s="18"/>
      <c r="X149" s="17"/>
      <c r="Y149" s="18"/>
      <c r="Z149" s="19"/>
      <c r="AB149" s="20"/>
      <c r="AC149" s="15"/>
      <c r="AD149" s="15"/>
    </row>
    <row r="150">
      <c r="F150" s="15"/>
      <c r="G150" s="15"/>
      <c r="H150" s="15"/>
      <c r="K150" s="16"/>
      <c r="R150" s="17"/>
      <c r="S150" s="17"/>
      <c r="T150" s="17"/>
      <c r="U150" s="17"/>
      <c r="V150" s="18"/>
      <c r="W150" s="18"/>
      <c r="X150" s="17"/>
      <c r="Y150" s="18"/>
      <c r="Z150" s="19"/>
      <c r="AB150" s="20"/>
      <c r="AC150" s="15"/>
      <c r="AD150" s="15"/>
    </row>
    <row r="151">
      <c r="F151" s="15"/>
      <c r="G151" s="15"/>
      <c r="H151" s="15"/>
      <c r="K151" s="16"/>
      <c r="R151" s="17"/>
      <c r="S151" s="17"/>
      <c r="T151" s="17"/>
      <c r="U151" s="17"/>
      <c r="V151" s="18"/>
      <c r="W151" s="18"/>
      <c r="X151" s="17"/>
      <c r="Y151" s="18"/>
      <c r="Z151" s="19"/>
      <c r="AB151" s="20"/>
      <c r="AC151" s="15"/>
      <c r="AD151" s="15"/>
    </row>
    <row r="152">
      <c r="F152" s="15"/>
      <c r="G152" s="15"/>
      <c r="H152" s="15"/>
      <c r="K152" s="16"/>
      <c r="R152" s="17"/>
      <c r="S152" s="17"/>
      <c r="T152" s="17"/>
      <c r="U152" s="17"/>
      <c r="V152" s="18"/>
      <c r="W152" s="18"/>
      <c r="X152" s="17"/>
      <c r="Y152" s="18"/>
      <c r="Z152" s="19"/>
      <c r="AB152" s="20"/>
      <c r="AC152" s="15"/>
      <c r="AD152" s="15"/>
    </row>
    <row r="153">
      <c r="F153" s="15"/>
      <c r="G153" s="15"/>
      <c r="H153" s="15"/>
      <c r="K153" s="16"/>
      <c r="R153" s="17"/>
      <c r="S153" s="17"/>
      <c r="T153" s="17"/>
      <c r="U153" s="17"/>
      <c r="V153" s="18"/>
      <c r="W153" s="18"/>
      <c r="X153" s="17"/>
      <c r="Y153" s="18"/>
      <c r="Z153" s="19"/>
      <c r="AB153" s="20"/>
      <c r="AC153" s="15"/>
      <c r="AD153" s="15"/>
    </row>
    <row r="154">
      <c r="F154" s="15"/>
      <c r="G154" s="15"/>
      <c r="H154" s="15"/>
      <c r="K154" s="16"/>
      <c r="R154" s="17"/>
      <c r="S154" s="17"/>
      <c r="T154" s="17"/>
      <c r="U154" s="17"/>
      <c r="V154" s="18"/>
      <c r="W154" s="18"/>
      <c r="X154" s="17"/>
      <c r="Y154" s="18"/>
      <c r="Z154" s="19"/>
      <c r="AB154" s="20"/>
      <c r="AC154" s="15"/>
      <c r="AD154" s="15"/>
    </row>
    <row r="155">
      <c r="F155" s="15"/>
      <c r="G155" s="15"/>
      <c r="H155" s="15"/>
      <c r="K155" s="16"/>
      <c r="R155" s="17"/>
      <c r="S155" s="17"/>
      <c r="T155" s="17"/>
      <c r="U155" s="17"/>
      <c r="V155" s="18"/>
      <c r="W155" s="18"/>
      <c r="X155" s="17"/>
      <c r="Y155" s="18"/>
      <c r="Z155" s="19"/>
      <c r="AB155" s="20"/>
      <c r="AC155" s="15"/>
      <c r="AD155" s="15"/>
    </row>
    <row r="156">
      <c r="F156" s="15"/>
      <c r="G156" s="15"/>
      <c r="H156" s="15"/>
      <c r="K156" s="16"/>
      <c r="R156" s="17"/>
      <c r="S156" s="17"/>
      <c r="T156" s="17"/>
      <c r="U156" s="17"/>
      <c r="V156" s="18"/>
      <c r="W156" s="18"/>
      <c r="X156" s="17"/>
      <c r="Y156" s="18"/>
      <c r="Z156" s="19"/>
      <c r="AB156" s="20"/>
      <c r="AC156" s="15"/>
      <c r="AD156" s="15"/>
    </row>
    <row r="157">
      <c r="F157" s="15"/>
      <c r="G157" s="15"/>
      <c r="H157" s="15"/>
      <c r="K157" s="16"/>
      <c r="R157" s="17"/>
      <c r="S157" s="17"/>
      <c r="T157" s="17"/>
      <c r="U157" s="17"/>
      <c r="V157" s="18"/>
      <c r="W157" s="18"/>
      <c r="X157" s="17"/>
      <c r="Y157" s="18"/>
      <c r="Z157" s="19"/>
      <c r="AB157" s="20"/>
      <c r="AC157" s="15"/>
      <c r="AD157" s="15"/>
    </row>
    <row r="158">
      <c r="F158" s="15"/>
      <c r="G158" s="15"/>
      <c r="H158" s="15"/>
      <c r="K158" s="16"/>
      <c r="R158" s="17"/>
      <c r="S158" s="17"/>
      <c r="T158" s="17"/>
      <c r="U158" s="17"/>
      <c r="V158" s="18"/>
      <c r="W158" s="18"/>
      <c r="X158" s="17"/>
      <c r="Y158" s="18"/>
      <c r="Z158" s="19"/>
      <c r="AB158" s="20"/>
      <c r="AC158" s="15"/>
      <c r="AD158" s="15"/>
    </row>
    <row r="159">
      <c r="F159" s="15"/>
      <c r="G159" s="15"/>
      <c r="H159" s="15"/>
      <c r="K159" s="16"/>
      <c r="R159" s="17"/>
      <c r="S159" s="17"/>
      <c r="T159" s="17"/>
      <c r="U159" s="17"/>
      <c r="V159" s="18"/>
      <c r="W159" s="18"/>
      <c r="X159" s="17"/>
      <c r="Y159" s="18"/>
      <c r="Z159" s="19"/>
      <c r="AB159" s="20"/>
      <c r="AC159" s="15"/>
      <c r="AD159" s="15"/>
    </row>
    <row r="160">
      <c r="F160" s="15"/>
      <c r="G160" s="15"/>
      <c r="H160" s="15"/>
      <c r="K160" s="16"/>
      <c r="R160" s="17"/>
      <c r="S160" s="17"/>
      <c r="T160" s="17"/>
      <c r="U160" s="17"/>
      <c r="V160" s="18"/>
      <c r="W160" s="18"/>
      <c r="X160" s="17"/>
      <c r="Y160" s="18"/>
      <c r="Z160" s="19"/>
      <c r="AB160" s="20"/>
      <c r="AC160" s="15"/>
      <c r="AD160" s="15"/>
    </row>
    <row r="161">
      <c r="F161" s="15"/>
      <c r="G161" s="15"/>
      <c r="H161" s="15"/>
      <c r="K161" s="16"/>
      <c r="R161" s="17"/>
      <c r="S161" s="17"/>
      <c r="T161" s="17"/>
      <c r="U161" s="17"/>
      <c r="V161" s="18"/>
      <c r="W161" s="18"/>
      <c r="X161" s="17"/>
      <c r="Y161" s="18"/>
      <c r="Z161" s="19"/>
      <c r="AB161" s="20"/>
      <c r="AC161" s="15"/>
      <c r="AD161" s="15"/>
    </row>
    <row r="162">
      <c r="F162" s="15"/>
      <c r="G162" s="15"/>
      <c r="H162" s="15"/>
      <c r="K162" s="16"/>
      <c r="R162" s="17"/>
      <c r="S162" s="17"/>
      <c r="T162" s="17"/>
      <c r="U162" s="17"/>
      <c r="V162" s="18"/>
      <c r="W162" s="18"/>
      <c r="X162" s="17"/>
      <c r="Y162" s="18"/>
      <c r="Z162" s="19"/>
      <c r="AB162" s="20"/>
      <c r="AC162" s="15"/>
      <c r="AD162" s="15"/>
    </row>
    <row r="163">
      <c r="F163" s="15"/>
      <c r="G163" s="15"/>
      <c r="H163" s="15"/>
      <c r="K163" s="16"/>
      <c r="R163" s="17"/>
      <c r="S163" s="17"/>
      <c r="T163" s="17"/>
      <c r="U163" s="17"/>
      <c r="V163" s="18"/>
      <c r="W163" s="18"/>
      <c r="X163" s="17"/>
      <c r="Y163" s="18"/>
      <c r="Z163" s="19"/>
      <c r="AB163" s="20"/>
      <c r="AC163" s="15"/>
      <c r="AD163" s="15"/>
    </row>
    <row r="164">
      <c r="F164" s="15"/>
      <c r="G164" s="15"/>
      <c r="H164" s="15"/>
      <c r="K164" s="16"/>
      <c r="R164" s="17"/>
      <c r="S164" s="17"/>
      <c r="T164" s="17"/>
      <c r="U164" s="17"/>
      <c r="V164" s="18"/>
      <c r="W164" s="18"/>
      <c r="X164" s="17"/>
      <c r="Y164" s="18"/>
      <c r="Z164" s="19"/>
      <c r="AB164" s="20"/>
      <c r="AC164" s="15"/>
      <c r="AD164" s="15"/>
    </row>
    <row r="165">
      <c r="F165" s="15"/>
      <c r="G165" s="15"/>
      <c r="H165" s="15"/>
      <c r="K165" s="16"/>
      <c r="R165" s="17"/>
      <c r="S165" s="17"/>
      <c r="T165" s="17"/>
      <c r="U165" s="17"/>
      <c r="V165" s="18"/>
      <c r="W165" s="18"/>
      <c r="X165" s="17"/>
      <c r="Y165" s="18"/>
      <c r="Z165" s="19"/>
      <c r="AB165" s="20"/>
      <c r="AC165" s="15"/>
      <c r="AD165" s="15"/>
    </row>
    <row r="166">
      <c r="F166" s="15"/>
      <c r="G166" s="15"/>
      <c r="H166" s="15"/>
      <c r="K166" s="16"/>
      <c r="R166" s="17"/>
      <c r="S166" s="17"/>
      <c r="T166" s="17"/>
      <c r="U166" s="17"/>
      <c r="V166" s="18"/>
      <c r="W166" s="18"/>
      <c r="X166" s="17"/>
      <c r="Y166" s="18"/>
      <c r="Z166" s="19"/>
      <c r="AB166" s="20"/>
      <c r="AC166" s="15"/>
      <c r="AD166" s="15"/>
    </row>
    <row r="167">
      <c r="F167" s="15"/>
      <c r="G167" s="15"/>
      <c r="H167" s="15"/>
      <c r="K167" s="16"/>
      <c r="R167" s="17"/>
      <c r="S167" s="17"/>
      <c r="T167" s="17"/>
      <c r="U167" s="17"/>
      <c r="V167" s="18"/>
      <c r="W167" s="18"/>
      <c r="X167" s="17"/>
      <c r="Y167" s="18"/>
      <c r="Z167" s="19"/>
      <c r="AB167" s="20"/>
      <c r="AC167" s="15"/>
      <c r="AD167" s="15"/>
    </row>
    <row r="168">
      <c r="F168" s="15"/>
      <c r="G168" s="15"/>
      <c r="H168" s="15"/>
      <c r="K168" s="16"/>
      <c r="R168" s="17"/>
      <c r="S168" s="17"/>
      <c r="T168" s="17"/>
      <c r="U168" s="17"/>
      <c r="V168" s="18"/>
      <c r="W168" s="18"/>
      <c r="X168" s="17"/>
      <c r="Y168" s="18"/>
      <c r="Z168" s="19"/>
      <c r="AB168" s="20"/>
      <c r="AC168" s="15"/>
      <c r="AD168" s="15"/>
    </row>
    <row r="169">
      <c r="F169" s="15"/>
      <c r="G169" s="15"/>
      <c r="H169" s="15"/>
      <c r="K169" s="16"/>
      <c r="R169" s="17"/>
      <c r="S169" s="17"/>
      <c r="T169" s="17"/>
      <c r="U169" s="17"/>
      <c r="V169" s="18"/>
      <c r="W169" s="18"/>
      <c r="X169" s="17"/>
      <c r="Y169" s="18"/>
      <c r="Z169" s="19"/>
      <c r="AB169" s="20"/>
      <c r="AC169" s="15"/>
      <c r="AD169" s="15"/>
    </row>
    <row r="170">
      <c r="F170" s="15"/>
      <c r="G170" s="15"/>
      <c r="H170" s="15"/>
      <c r="K170" s="16"/>
      <c r="R170" s="17"/>
      <c r="S170" s="17"/>
      <c r="T170" s="17"/>
      <c r="U170" s="17"/>
      <c r="V170" s="18"/>
      <c r="W170" s="18"/>
      <c r="X170" s="17"/>
      <c r="Y170" s="18"/>
      <c r="Z170" s="19"/>
      <c r="AB170" s="20"/>
      <c r="AC170" s="15"/>
      <c r="AD170" s="15"/>
    </row>
    <row r="171">
      <c r="F171" s="15"/>
      <c r="G171" s="15"/>
      <c r="H171" s="15"/>
      <c r="K171" s="16"/>
      <c r="R171" s="17"/>
      <c r="S171" s="17"/>
      <c r="T171" s="17"/>
      <c r="U171" s="17"/>
      <c r="V171" s="18"/>
      <c r="W171" s="18"/>
      <c r="X171" s="17"/>
      <c r="Y171" s="18"/>
      <c r="Z171" s="19"/>
      <c r="AB171" s="20"/>
      <c r="AC171" s="15"/>
      <c r="AD171" s="15"/>
    </row>
    <row r="172">
      <c r="F172" s="15"/>
      <c r="G172" s="15"/>
      <c r="H172" s="15"/>
      <c r="K172" s="16"/>
      <c r="R172" s="17"/>
      <c r="S172" s="17"/>
      <c r="T172" s="17"/>
      <c r="U172" s="17"/>
      <c r="V172" s="18"/>
      <c r="W172" s="18"/>
      <c r="X172" s="17"/>
      <c r="Y172" s="18"/>
      <c r="Z172" s="19"/>
      <c r="AB172" s="20"/>
      <c r="AC172" s="15"/>
      <c r="AD172" s="15"/>
    </row>
    <row r="173">
      <c r="F173" s="15"/>
      <c r="G173" s="15"/>
      <c r="H173" s="15"/>
      <c r="K173" s="16"/>
      <c r="R173" s="17"/>
      <c r="S173" s="17"/>
      <c r="T173" s="17"/>
      <c r="U173" s="17"/>
      <c r="V173" s="18"/>
      <c r="W173" s="18"/>
      <c r="X173" s="17"/>
      <c r="Y173" s="18"/>
      <c r="Z173" s="19"/>
      <c r="AB173" s="20"/>
      <c r="AC173" s="15"/>
      <c r="AD173" s="15"/>
    </row>
    <row r="174">
      <c r="F174" s="15"/>
      <c r="G174" s="15"/>
      <c r="H174" s="15"/>
      <c r="K174" s="16"/>
      <c r="R174" s="17"/>
      <c r="S174" s="17"/>
      <c r="T174" s="17"/>
      <c r="U174" s="17"/>
      <c r="V174" s="18"/>
      <c r="W174" s="18"/>
      <c r="X174" s="17"/>
      <c r="Y174" s="18"/>
      <c r="Z174" s="19"/>
      <c r="AB174" s="20"/>
      <c r="AC174" s="15"/>
      <c r="AD174" s="15"/>
    </row>
    <row r="175">
      <c r="F175" s="15"/>
      <c r="G175" s="15"/>
      <c r="H175" s="15"/>
      <c r="K175" s="16"/>
      <c r="R175" s="17"/>
      <c r="S175" s="17"/>
      <c r="T175" s="17"/>
      <c r="U175" s="17"/>
      <c r="V175" s="18"/>
      <c r="W175" s="18"/>
      <c r="X175" s="17"/>
      <c r="Y175" s="18"/>
      <c r="Z175" s="19"/>
      <c r="AB175" s="20"/>
      <c r="AC175" s="15"/>
      <c r="AD175" s="15"/>
    </row>
    <row r="176">
      <c r="F176" s="15"/>
      <c r="G176" s="15"/>
      <c r="H176" s="15"/>
      <c r="K176" s="16"/>
      <c r="R176" s="17"/>
      <c r="S176" s="17"/>
      <c r="T176" s="17"/>
      <c r="U176" s="17"/>
      <c r="V176" s="18"/>
      <c r="W176" s="18"/>
      <c r="X176" s="17"/>
      <c r="Y176" s="18"/>
      <c r="Z176" s="19"/>
      <c r="AB176" s="20"/>
      <c r="AC176" s="15"/>
      <c r="AD176" s="15"/>
    </row>
    <row r="177">
      <c r="F177" s="15"/>
      <c r="G177" s="15"/>
      <c r="H177" s="15"/>
      <c r="K177" s="16"/>
      <c r="R177" s="17"/>
      <c r="S177" s="17"/>
      <c r="T177" s="17"/>
      <c r="U177" s="17"/>
      <c r="V177" s="18"/>
      <c r="W177" s="18"/>
      <c r="X177" s="17"/>
      <c r="Y177" s="18"/>
      <c r="Z177" s="19"/>
      <c r="AB177" s="20"/>
      <c r="AC177" s="15"/>
      <c r="AD177" s="15"/>
    </row>
    <row r="178">
      <c r="F178" s="15"/>
      <c r="G178" s="15"/>
      <c r="H178" s="15"/>
      <c r="K178" s="16"/>
      <c r="R178" s="17"/>
      <c r="S178" s="17"/>
      <c r="T178" s="17"/>
      <c r="U178" s="17"/>
      <c r="V178" s="18"/>
      <c r="W178" s="18"/>
      <c r="X178" s="17"/>
      <c r="Y178" s="18"/>
      <c r="Z178" s="19"/>
      <c r="AB178" s="20"/>
      <c r="AC178" s="15"/>
      <c r="AD178" s="15"/>
    </row>
    <row r="179">
      <c r="F179" s="15"/>
      <c r="G179" s="15"/>
      <c r="H179" s="15"/>
      <c r="K179" s="16"/>
      <c r="R179" s="17"/>
      <c r="S179" s="17"/>
      <c r="T179" s="17"/>
      <c r="U179" s="17"/>
      <c r="V179" s="18"/>
      <c r="W179" s="18"/>
      <c r="X179" s="17"/>
      <c r="Y179" s="18"/>
      <c r="Z179" s="19"/>
      <c r="AB179" s="20"/>
      <c r="AC179" s="15"/>
      <c r="AD179" s="15"/>
    </row>
    <row r="180">
      <c r="F180" s="15"/>
      <c r="G180" s="15"/>
      <c r="H180" s="15"/>
      <c r="K180" s="16"/>
      <c r="R180" s="17"/>
      <c r="S180" s="17"/>
      <c r="T180" s="17"/>
      <c r="U180" s="17"/>
      <c r="V180" s="18"/>
      <c r="W180" s="18"/>
      <c r="X180" s="17"/>
      <c r="Y180" s="18"/>
      <c r="Z180" s="19"/>
      <c r="AB180" s="20"/>
      <c r="AC180" s="15"/>
      <c r="AD180" s="15"/>
    </row>
    <row r="181">
      <c r="F181" s="15"/>
      <c r="G181" s="15"/>
      <c r="H181" s="15"/>
      <c r="K181" s="16"/>
      <c r="R181" s="17"/>
      <c r="S181" s="17"/>
      <c r="T181" s="17"/>
      <c r="U181" s="17"/>
      <c r="V181" s="18"/>
      <c r="W181" s="18"/>
      <c r="X181" s="17"/>
      <c r="Y181" s="18"/>
      <c r="Z181" s="19"/>
      <c r="AB181" s="20"/>
      <c r="AC181" s="15"/>
      <c r="AD181" s="15"/>
    </row>
    <row r="182">
      <c r="F182" s="15"/>
      <c r="G182" s="15"/>
      <c r="H182" s="15"/>
      <c r="K182" s="16"/>
      <c r="R182" s="17"/>
      <c r="S182" s="17"/>
      <c r="T182" s="17"/>
      <c r="U182" s="17"/>
      <c r="V182" s="18"/>
      <c r="W182" s="18"/>
      <c r="X182" s="17"/>
      <c r="Y182" s="18"/>
      <c r="Z182" s="19"/>
      <c r="AB182" s="20"/>
      <c r="AC182" s="15"/>
      <c r="AD182" s="15"/>
    </row>
    <row r="183">
      <c r="F183" s="15"/>
      <c r="G183" s="15"/>
      <c r="H183" s="15"/>
      <c r="K183" s="16"/>
      <c r="R183" s="17"/>
      <c r="S183" s="17"/>
      <c r="T183" s="17"/>
      <c r="U183" s="17"/>
      <c r="V183" s="18"/>
      <c r="W183" s="18"/>
      <c r="X183" s="17"/>
      <c r="Y183" s="18"/>
      <c r="Z183" s="19"/>
      <c r="AB183" s="20"/>
      <c r="AC183" s="15"/>
      <c r="AD183" s="15"/>
    </row>
    <row r="184">
      <c r="F184" s="15"/>
      <c r="G184" s="15"/>
      <c r="H184" s="15"/>
      <c r="K184" s="16"/>
      <c r="R184" s="17"/>
      <c r="S184" s="17"/>
      <c r="T184" s="17"/>
      <c r="U184" s="17"/>
      <c r="V184" s="18"/>
      <c r="W184" s="18"/>
      <c r="X184" s="17"/>
      <c r="Y184" s="18"/>
      <c r="Z184" s="19"/>
      <c r="AB184" s="20"/>
      <c r="AC184" s="15"/>
      <c r="AD184" s="15"/>
    </row>
    <row r="185">
      <c r="F185" s="15"/>
      <c r="G185" s="15"/>
      <c r="H185" s="15"/>
      <c r="K185" s="16"/>
      <c r="R185" s="17"/>
      <c r="S185" s="17"/>
      <c r="T185" s="17"/>
      <c r="U185" s="17"/>
      <c r="V185" s="18"/>
      <c r="W185" s="18"/>
      <c r="X185" s="17"/>
      <c r="Y185" s="18"/>
      <c r="Z185" s="19"/>
      <c r="AB185" s="20"/>
      <c r="AC185" s="15"/>
      <c r="AD185" s="15"/>
    </row>
    <row r="186">
      <c r="F186" s="15"/>
      <c r="G186" s="15"/>
      <c r="H186" s="15"/>
      <c r="K186" s="16"/>
      <c r="R186" s="17"/>
      <c r="S186" s="17"/>
      <c r="T186" s="17"/>
      <c r="U186" s="17"/>
      <c r="V186" s="18"/>
      <c r="W186" s="18"/>
      <c r="X186" s="17"/>
      <c r="Y186" s="18"/>
      <c r="Z186" s="19"/>
      <c r="AB186" s="20"/>
      <c r="AC186" s="15"/>
      <c r="AD186" s="15"/>
    </row>
    <row r="187">
      <c r="F187" s="15"/>
      <c r="G187" s="15"/>
      <c r="H187" s="15"/>
      <c r="K187" s="16"/>
      <c r="R187" s="17"/>
      <c r="S187" s="17"/>
      <c r="T187" s="17"/>
      <c r="U187" s="17"/>
      <c r="V187" s="18"/>
      <c r="W187" s="18"/>
      <c r="X187" s="17"/>
      <c r="Y187" s="18"/>
      <c r="Z187" s="19"/>
      <c r="AB187" s="20"/>
      <c r="AC187" s="15"/>
      <c r="AD187" s="15"/>
    </row>
    <row r="188">
      <c r="F188" s="15"/>
      <c r="G188" s="15"/>
      <c r="H188" s="15"/>
      <c r="K188" s="16"/>
      <c r="R188" s="17"/>
      <c r="S188" s="17"/>
      <c r="T188" s="17"/>
      <c r="U188" s="17"/>
      <c r="V188" s="18"/>
      <c r="W188" s="18"/>
      <c r="X188" s="17"/>
      <c r="Y188" s="18"/>
      <c r="Z188" s="19"/>
      <c r="AB188" s="20"/>
      <c r="AC188" s="15"/>
      <c r="AD188" s="15"/>
    </row>
    <row r="189">
      <c r="F189" s="15"/>
      <c r="G189" s="15"/>
      <c r="H189" s="15"/>
      <c r="K189" s="16"/>
      <c r="R189" s="17"/>
      <c r="S189" s="17"/>
      <c r="T189" s="17"/>
      <c r="U189" s="17"/>
      <c r="V189" s="18"/>
      <c r="W189" s="18"/>
      <c r="X189" s="17"/>
      <c r="Y189" s="18"/>
      <c r="Z189" s="19"/>
      <c r="AB189" s="20"/>
      <c r="AC189" s="15"/>
      <c r="AD189" s="15"/>
    </row>
    <row r="190">
      <c r="F190" s="15"/>
      <c r="G190" s="15"/>
      <c r="H190" s="15"/>
      <c r="K190" s="16"/>
      <c r="R190" s="17"/>
      <c r="S190" s="17"/>
      <c r="T190" s="17"/>
      <c r="U190" s="17"/>
      <c r="V190" s="18"/>
      <c r="W190" s="18"/>
      <c r="X190" s="17"/>
      <c r="Y190" s="18"/>
      <c r="Z190" s="19"/>
      <c r="AB190" s="20"/>
      <c r="AC190" s="15"/>
      <c r="AD190" s="15"/>
    </row>
    <row r="191">
      <c r="F191" s="15"/>
      <c r="G191" s="15"/>
      <c r="H191" s="15"/>
      <c r="K191" s="16"/>
      <c r="R191" s="17"/>
      <c r="S191" s="17"/>
      <c r="T191" s="17"/>
      <c r="U191" s="17"/>
      <c r="V191" s="18"/>
      <c r="W191" s="18"/>
      <c r="X191" s="17"/>
      <c r="Y191" s="18"/>
      <c r="Z191" s="19"/>
      <c r="AB191" s="20"/>
      <c r="AC191" s="15"/>
      <c r="AD191" s="15"/>
    </row>
    <row r="192">
      <c r="F192" s="15"/>
      <c r="G192" s="15"/>
      <c r="H192" s="15"/>
      <c r="K192" s="16"/>
      <c r="R192" s="17"/>
      <c r="S192" s="17"/>
      <c r="T192" s="17"/>
      <c r="U192" s="17"/>
      <c r="V192" s="18"/>
      <c r="W192" s="18"/>
      <c r="X192" s="17"/>
      <c r="Y192" s="18"/>
      <c r="Z192" s="19"/>
      <c r="AB192" s="20"/>
      <c r="AC192" s="15"/>
      <c r="AD192" s="15"/>
    </row>
    <row r="193">
      <c r="F193" s="15"/>
      <c r="G193" s="15"/>
      <c r="H193" s="15"/>
      <c r="K193" s="16"/>
      <c r="R193" s="17"/>
      <c r="S193" s="17"/>
      <c r="T193" s="17"/>
      <c r="U193" s="17"/>
      <c r="V193" s="18"/>
      <c r="W193" s="18"/>
      <c r="X193" s="17"/>
      <c r="Y193" s="18"/>
      <c r="Z193" s="19"/>
      <c r="AB193" s="20"/>
      <c r="AC193" s="15"/>
      <c r="AD193" s="15"/>
    </row>
    <row r="194">
      <c r="F194" s="15"/>
      <c r="G194" s="15"/>
      <c r="H194" s="15"/>
      <c r="K194" s="16"/>
      <c r="R194" s="17"/>
      <c r="S194" s="17"/>
      <c r="T194" s="17"/>
      <c r="U194" s="17"/>
      <c r="V194" s="18"/>
      <c r="W194" s="18"/>
      <c r="X194" s="17"/>
      <c r="Y194" s="18"/>
      <c r="Z194" s="19"/>
      <c r="AB194" s="20"/>
      <c r="AC194" s="15"/>
      <c r="AD194" s="15"/>
    </row>
    <row r="195">
      <c r="F195" s="15"/>
      <c r="G195" s="15"/>
      <c r="H195" s="15"/>
      <c r="K195" s="16"/>
      <c r="R195" s="17"/>
      <c r="S195" s="17"/>
      <c r="T195" s="17"/>
      <c r="U195" s="17"/>
      <c r="V195" s="18"/>
      <c r="W195" s="18"/>
      <c r="X195" s="17"/>
      <c r="Y195" s="18"/>
      <c r="Z195" s="19"/>
      <c r="AB195" s="20"/>
      <c r="AC195" s="15"/>
      <c r="AD195" s="15"/>
    </row>
    <row r="196">
      <c r="F196" s="15"/>
      <c r="G196" s="15"/>
      <c r="H196" s="15"/>
      <c r="K196" s="16"/>
      <c r="R196" s="17"/>
      <c r="S196" s="17"/>
      <c r="T196" s="17"/>
      <c r="U196" s="17"/>
      <c r="V196" s="18"/>
      <c r="W196" s="18"/>
      <c r="X196" s="17"/>
      <c r="Y196" s="18"/>
      <c r="Z196" s="19"/>
      <c r="AB196" s="20"/>
      <c r="AC196" s="15"/>
      <c r="AD196" s="15"/>
    </row>
    <row r="197">
      <c r="F197" s="15"/>
      <c r="G197" s="15"/>
      <c r="H197" s="15"/>
      <c r="K197" s="16"/>
      <c r="R197" s="17"/>
      <c r="S197" s="17"/>
      <c r="T197" s="17"/>
      <c r="U197" s="17"/>
      <c r="V197" s="18"/>
      <c r="W197" s="18"/>
      <c r="X197" s="17"/>
      <c r="Y197" s="18"/>
      <c r="Z197" s="19"/>
      <c r="AB197" s="20"/>
      <c r="AC197" s="15"/>
      <c r="AD197" s="15"/>
    </row>
    <row r="198">
      <c r="F198" s="15"/>
      <c r="G198" s="15"/>
      <c r="H198" s="15"/>
      <c r="K198" s="16"/>
      <c r="R198" s="17"/>
      <c r="S198" s="17"/>
      <c r="T198" s="17"/>
      <c r="U198" s="17"/>
      <c r="V198" s="18"/>
      <c r="W198" s="18"/>
      <c r="X198" s="17"/>
      <c r="Y198" s="18"/>
      <c r="Z198" s="19"/>
      <c r="AB198" s="20"/>
      <c r="AC198" s="15"/>
      <c r="AD198" s="15"/>
    </row>
    <row r="199">
      <c r="F199" s="15"/>
      <c r="G199" s="15"/>
      <c r="H199" s="15"/>
      <c r="K199" s="16"/>
      <c r="R199" s="17"/>
      <c r="S199" s="17"/>
      <c r="T199" s="17"/>
      <c r="U199" s="17"/>
      <c r="V199" s="18"/>
      <c r="W199" s="18"/>
      <c r="X199" s="17"/>
      <c r="Y199" s="18"/>
      <c r="Z199" s="19"/>
      <c r="AB199" s="20"/>
      <c r="AC199" s="15"/>
      <c r="AD199" s="15"/>
    </row>
    <row r="200">
      <c r="F200" s="15"/>
      <c r="G200" s="15"/>
      <c r="H200" s="15"/>
      <c r="K200" s="16"/>
      <c r="R200" s="17"/>
      <c r="S200" s="17"/>
      <c r="T200" s="17"/>
      <c r="U200" s="17"/>
      <c r="V200" s="18"/>
      <c r="W200" s="18"/>
      <c r="X200" s="17"/>
      <c r="Y200" s="18"/>
      <c r="Z200" s="19"/>
      <c r="AB200" s="20"/>
      <c r="AC200" s="15"/>
      <c r="AD200" s="15"/>
    </row>
    <row r="201">
      <c r="F201" s="15"/>
      <c r="G201" s="15"/>
      <c r="H201" s="15"/>
      <c r="K201" s="16"/>
      <c r="R201" s="17"/>
      <c r="S201" s="17"/>
      <c r="T201" s="17"/>
      <c r="U201" s="17"/>
      <c r="V201" s="18"/>
      <c r="W201" s="18"/>
      <c r="X201" s="17"/>
      <c r="Y201" s="18"/>
      <c r="Z201" s="19"/>
      <c r="AB201" s="20"/>
      <c r="AC201" s="15"/>
      <c r="AD201" s="15"/>
    </row>
    <row r="202">
      <c r="F202" s="15"/>
      <c r="G202" s="15"/>
      <c r="H202" s="15"/>
      <c r="K202" s="16"/>
      <c r="R202" s="17"/>
      <c r="S202" s="17"/>
      <c r="T202" s="17"/>
      <c r="U202" s="17"/>
      <c r="V202" s="18"/>
      <c r="W202" s="18"/>
      <c r="X202" s="17"/>
      <c r="Y202" s="18"/>
      <c r="Z202" s="19"/>
      <c r="AB202" s="20"/>
      <c r="AC202" s="15"/>
      <c r="AD202" s="15"/>
    </row>
    <row r="203">
      <c r="F203" s="15"/>
      <c r="G203" s="15"/>
      <c r="H203" s="15"/>
      <c r="K203" s="16"/>
      <c r="R203" s="17"/>
      <c r="S203" s="17"/>
      <c r="T203" s="17"/>
      <c r="U203" s="17"/>
      <c r="V203" s="18"/>
      <c r="W203" s="18"/>
      <c r="X203" s="17"/>
      <c r="Y203" s="18"/>
      <c r="Z203" s="19"/>
      <c r="AB203" s="20"/>
      <c r="AC203" s="15"/>
      <c r="AD203" s="15"/>
    </row>
    <row r="204">
      <c r="F204" s="15"/>
      <c r="G204" s="15"/>
      <c r="H204" s="15"/>
      <c r="K204" s="16"/>
      <c r="R204" s="17"/>
      <c r="S204" s="17"/>
      <c r="T204" s="17"/>
      <c r="U204" s="17"/>
      <c r="V204" s="18"/>
      <c r="W204" s="18"/>
      <c r="X204" s="17"/>
      <c r="Y204" s="18"/>
      <c r="Z204" s="19"/>
      <c r="AB204" s="20"/>
      <c r="AC204" s="15"/>
      <c r="AD204" s="15"/>
    </row>
    <row r="205">
      <c r="F205" s="15"/>
      <c r="G205" s="15"/>
      <c r="H205" s="15"/>
      <c r="K205" s="16"/>
      <c r="R205" s="17"/>
      <c r="S205" s="17"/>
      <c r="T205" s="17"/>
      <c r="U205" s="17"/>
      <c r="V205" s="18"/>
      <c r="W205" s="18"/>
      <c r="X205" s="17"/>
      <c r="Y205" s="18"/>
      <c r="Z205" s="19"/>
      <c r="AB205" s="20"/>
      <c r="AC205" s="15"/>
      <c r="AD205" s="15"/>
    </row>
    <row r="206">
      <c r="F206" s="15"/>
      <c r="G206" s="15"/>
      <c r="H206" s="15"/>
      <c r="K206" s="16"/>
      <c r="R206" s="17"/>
      <c r="S206" s="17"/>
      <c r="T206" s="17"/>
      <c r="U206" s="17"/>
      <c r="V206" s="18"/>
      <c r="W206" s="18"/>
      <c r="X206" s="17"/>
      <c r="Y206" s="18"/>
      <c r="Z206" s="19"/>
      <c r="AB206" s="20"/>
      <c r="AC206" s="15"/>
      <c r="AD206" s="15"/>
    </row>
    <row r="207">
      <c r="F207" s="15"/>
      <c r="G207" s="15"/>
      <c r="H207" s="15"/>
      <c r="K207" s="16"/>
      <c r="R207" s="17"/>
      <c r="S207" s="17"/>
      <c r="T207" s="17"/>
      <c r="U207" s="17"/>
      <c r="V207" s="18"/>
      <c r="W207" s="18"/>
      <c r="X207" s="17"/>
      <c r="Y207" s="18"/>
      <c r="Z207" s="19"/>
      <c r="AB207" s="20"/>
      <c r="AC207" s="15"/>
      <c r="AD207" s="15"/>
    </row>
    <row r="208">
      <c r="F208" s="15"/>
      <c r="G208" s="15"/>
      <c r="H208" s="15"/>
      <c r="K208" s="16"/>
      <c r="R208" s="17"/>
      <c r="S208" s="17"/>
      <c r="T208" s="17"/>
      <c r="U208" s="17"/>
      <c r="V208" s="18"/>
      <c r="W208" s="18"/>
      <c r="X208" s="17"/>
      <c r="Y208" s="18"/>
      <c r="Z208" s="19"/>
      <c r="AB208" s="20"/>
      <c r="AC208" s="15"/>
      <c r="AD208" s="15"/>
    </row>
    <row r="209">
      <c r="F209" s="15"/>
      <c r="G209" s="15"/>
      <c r="H209" s="15"/>
      <c r="K209" s="16"/>
      <c r="R209" s="17"/>
      <c r="S209" s="17"/>
      <c r="T209" s="17"/>
      <c r="U209" s="17"/>
      <c r="V209" s="18"/>
      <c r="W209" s="18"/>
      <c r="X209" s="17"/>
      <c r="Y209" s="18"/>
      <c r="Z209" s="19"/>
      <c r="AB209" s="20"/>
      <c r="AC209" s="15"/>
      <c r="AD209" s="15"/>
    </row>
    <row r="210">
      <c r="F210" s="15"/>
      <c r="G210" s="15"/>
      <c r="H210" s="15"/>
      <c r="K210" s="16"/>
      <c r="R210" s="17"/>
      <c r="S210" s="17"/>
      <c r="T210" s="17"/>
      <c r="U210" s="17"/>
      <c r="V210" s="18"/>
      <c r="W210" s="18"/>
      <c r="X210" s="17"/>
      <c r="Y210" s="18"/>
      <c r="Z210" s="19"/>
      <c r="AB210" s="20"/>
      <c r="AC210" s="15"/>
      <c r="AD210" s="15"/>
    </row>
    <row r="211">
      <c r="F211" s="15"/>
      <c r="G211" s="15"/>
      <c r="H211" s="15"/>
      <c r="K211" s="16"/>
      <c r="R211" s="17"/>
      <c r="S211" s="17"/>
      <c r="T211" s="17"/>
      <c r="U211" s="17"/>
      <c r="V211" s="18"/>
      <c r="W211" s="18"/>
      <c r="X211" s="17"/>
      <c r="Y211" s="18"/>
      <c r="Z211" s="19"/>
      <c r="AB211" s="20"/>
      <c r="AC211" s="15"/>
      <c r="AD211" s="15"/>
    </row>
    <row r="212">
      <c r="F212" s="15"/>
      <c r="G212" s="15"/>
      <c r="H212" s="15"/>
      <c r="K212" s="16"/>
      <c r="R212" s="17"/>
      <c r="S212" s="17"/>
      <c r="T212" s="17"/>
      <c r="U212" s="17"/>
      <c r="V212" s="18"/>
      <c r="W212" s="18"/>
      <c r="X212" s="17"/>
      <c r="Y212" s="18"/>
      <c r="Z212" s="19"/>
      <c r="AB212" s="20"/>
      <c r="AC212" s="15"/>
      <c r="AD212" s="15"/>
    </row>
    <row r="213">
      <c r="F213" s="15"/>
      <c r="G213" s="15"/>
      <c r="H213" s="15"/>
      <c r="K213" s="16"/>
      <c r="R213" s="17"/>
      <c r="S213" s="17"/>
      <c r="T213" s="17"/>
      <c r="U213" s="17"/>
      <c r="V213" s="18"/>
      <c r="W213" s="18"/>
      <c r="X213" s="17"/>
      <c r="Y213" s="18"/>
      <c r="Z213" s="19"/>
      <c r="AB213" s="20"/>
      <c r="AC213" s="15"/>
      <c r="AD213" s="15"/>
    </row>
    <row r="214">
      <c r="F214" s="15"/>
      <c r="G214" s="15"/>
      <c r="H214" s="15"/>
      <c r="K214" s="16"/>
      <c r="R214" s="17"/>
      <c r="S214" s="17"/>
      <c r="T214" s="17"/>
      <c r="U214" s="17"/>
      <c r="V214" s="18"/>
      <c r="W214" s="18"/>
      <c r="X214" s="17"/>
      <c r="Y214" s="18"/>
      <c r="Z214" s="19"/>
      <c r="AB214" s="20"/>
      <c r="AC214" s="15"/>
      <c r="AD214" s="15"/>
    </row>
    <row r="215">
      <c r="F215" s="15"/>
      <c r="G215" s="15"/>
      <c r="H215" s="15"/>
      <c r="K215" s="16"/>
      <c r="R215" s="17"/>
      <c r="S215" s="17"/>
      <c r="T215" s="17"/>
      <c r="U215" s="17"/>
      <c r="V215" s="18"/>
      <c r="W215" s="18"/>
      <c r="X215" s="17"/>
      <c r="Y215" s="18"/>
      <c r="Z215" s="19"/>
      <c r="AB215" s="20"/>
      <c r="AC215" s="15"/>
      <c r="AD215" s="15"/>
    </row>
    <row r="216">
      <c r="F216" s="15"/>
      <c r="G216" s="15"/>
      <c r="H216" s="15"/>
      <c r="K216" s="16"/>
      <c r="R216" s="17"/>
      <c r="S216" s="17"/>
      <c r="T216" s="17"/>
      <c r="U216" s="17"/>
      <c r="V216" s="18"/>
      <c r="W216" s="18"/>
      <c r="X216" s="17"/>
      <c r="Y216" s="18"/>
      <c r="Z216" s="19"/>
      <c r="AB216" s="20"/>
      <c r="AC216" s="15"/>
      <c r="AD216" s="15"/>
    </row>
    <row r="217">
      <c r="F217" s="15"/>
      <c r="G217" s="15"/>
      <c r="H217" s="15"/>
      <c r="K217" s="16"/>
      <c r="R217" s="17"/>
      <c r="S217" s="17"/>
      <c r="T217" s="17"/>
      <c r="U217" s="17"/>
      <c r="V217" s="18"/>
      <c r="W217" s="18"/>
      <c r="X217" s="17"/>
      <c r="Y217" s="18"/>
      <c r="Z217" s="19"/>
      <c r="AB217" s="20"/>
      <c r="AC217" s="15"/>
      <c r="AD217" s="15"/>
    </row>
    <row r="218">
      <c r="F218" s="15"/>
      <c r="G218" s="15"/>
      <c r="H218" s="15"/>
      <c r="K218" s="16"/>
      <c r="R218" s="17"/>
      <c r="S218" s="17"/>
      <c r="T218" s="17"/>
      <c r="U218" s="17"/>
      <c r="V218" s="18"/>
      <c r="W218" s="18"/>
      <c r="X218" s="17"/>
      <c r="Y218" s="18"/>
      <c r="Z218" s="19"/>
      <c r="AB218" s="20"/>
      <c r="AC218" s="15"/>
      <c r="AD218" s="15"/>
    </row>
    <row r="219">
      <c r="F219" s="15"/>
      <c r="G219" s="15"/>
      <c r="H219" s="15"/>
      <c r="K219" s="16"/>
      <c r="R219" s="17"/>
      <c r="S219" s="17"/>
      <c r="T219" s="17"/>
      <c r="U219" s="17"/>
      <c r="V219" s="18"/>
      <c r="W219" s="18"/>
      <c r="X219" s="17"/>
      <c r="Y219" s="18"/>
      <c r="Z219" s="19"/>
      <c r="AB219" s="20"/>
      <c r="AC219" s="15"/>
      <c r="AD219" s="15"/>
    </row>
    <row r="220">
      <c r="F220" s="15"/>
      <c r="G220" s="15"/>
      <c r="H220" s="15"/>
      <c r="K220" s="16"/>
      <c r="R220" s="17"/>
      <c r="S220" s="17"/>
      <c r="T220" s="17"/>
      <c r="U220" s="17"/>
      <c r="V220" s="18"/>
      <c r="W220" s="18"/>
      <c r="X220" s="17"/>
      <c r="Y220" s="18"/>
      <c r="Z220" s="19"/>
      <c r="AB220" s="20"/>
      <c r="AC220" s="15"/>
      <c r="AD220" s="15"/>
    </row>
    <row r="221">
      <c r="F221" s="15"/>
      <c r="G221" s="15"/>
      <c r="H221" s="15"/>
      <c r="K221" s="16"/>
      <c r="R221" s="17"/>
      <c r="S221" s="17"/>
      <c r="T221" s="17"/>
      <c r="U221" s="17"/>
      <c r="V221" s="18"/>
      <c r="W221" s="18"/>
      <c r="X221" s="17"/>
      <c r="Y221" s="18"/>
      <c r="Z221" s="19"/>
      <c r="AB221" s="20"/>
      <c r="AC221" s="15"/>
      <c r="AD221" s="15"/>
    </row>
    <row r="222">
      <c r="F222" s="15"/>
      <c r="G222" s="15"/>
      <c r="H222" s="15"/>
      <c r="K222" s="16"/>
      <c r="R222" s="17"/>
      <c r="S222" s="17"/>
      <c r="T222" s="17"/>
      <c r="U222" s="17"/>
      <c r="V222" s="18"/>
      <c r="W222" s="18"/>
      <c r="X222" s="17"/>
      <c r="Y222" s="18"/>
      <c r="Z222" s="19"/>
      <c r="AB222" s="20"/>
      <c r="AC222" s="15"/>
      <c r="AD222" s="15"/>
    </row>
    <row r="223">
      <c r="F223" s="15"/>
      <c r="G223" s="15"/>
      <c r="H223" s="15"/>
      <c r="K223" s="16"/>
      <c r="R223" s="17"/>
      <c r="S223" s="17"/>
      <c r="T223" s="17"/>
      <c r="U223" s="17"/>
      <c r="V223" s="18"/>
      <c r="W223" s="18"/>
      <c r="X223" s="17"/>
      <c r="Y223" s="18"/>
      <c r="Z223" s="19"/>
      <c r="AB223" s="20"/>
      <c r="AC223" s="15"/>
      <c r="AD223" s="15"/>
    </row>
    <row r="224">
      <c r="F224" s="15"/>
      <c r="G224" s="15"/>
      <c r="H224" s="15"/>
      <c r="K224" s="16"/>
      <c r="R224" s="17"/>
      <c r="S224" s="17"/>
      <c r="T224" s="17"/>
      <c r="U224" s="17"/>
      <c r="V224" s="18"/>
      <c r="W224" s="18"/>
      <c r="X224" s="17"/>
      <c r="Y224" s="18"/>
      <c r="Z224" s="19"/>
      <c r="AB224" s="20"/>
      <c r="AC224" s="15"/>
      <c r="AD224" s="15"/>
    </row>
    <row r="225">
      <c r="F225" s="15"/>
      <c r="G225" s="15"/>
      <c r="H225" s="15"/>
      <c r="K225" s="16"/>
      <c r="R225" s="17"/>
      <c r="S225" s="17"/>
      <c r="T225" s="17"/>
      <c r="U225" s="17"/>
      <c r="V225" s="18"/>
      <c r="W225" s="18"/>
      <c r="X225" s="17"/>
      <c r="Y225" s="18"/>
      <c r="Z225" s="19"/>
      <c r="AB225" s="20"/>
      <c r="AC225" s="15"/>
      <c r="AD225" s="15"/>
    </row>
    <row r="226">
      <c r="F226" s="15"/>
      <c r="G226" s="15"/>
      <c r="H226" s="15"/>
      <c r="K226" s="16"/>
      <c r="R226" s="17"/>
      <c r="S226" s="17"/>
      <c r="T226" s="17"/>
      <c r="U226" s="17"/>
      <c r="V226" s="18"/>
      <c r="W226" s="18"/>
      <c r="X226" s="17"/>
      <c r="Y226" s="18"/>
      <c r="Z226" s="19"/>
      <c r="AB226" s="20"/>
      <c r="AC226" s="15"/>
      <c r="AD226" s="15"/>
    </row>
    <row r="227">
      <c r="F227" s="15"/>
      <c r="G227" s="15"/>
      <c r="H227" s="15"/>
      <c r="K227" s="16"/>
      <c r="R227" s="17"/>
      <c r="S227" s="17"/>
      <c r="T227" s="17"/>
      <c r="U227" s="17"/>
      <c r="V227" s="18"/>
      <c r="W227" s="18"/>
      <c r="X227" s="17"/>
      <c r="Y227" s="18"/>
      <c r="Z227" s="19"/>
      <c r="AB227" s="20"/>
      <c r="AC227" s="15"/>
      <c r="AD227" s="15"/>
    </row>
    <row r="228">
      <c r="F228" s="15"/>
      <c r="G228" s="15"/>
      <c r="H228" s="15"/>
      <c r="K228" s="16"/>
      <c r="R228" s="17"/>
      <c r="S228" s="17"/>
      <c r="T228" s="17"/>
      <c r="U228" s="17"/>
      <c r="V228" s="18"/>
      <c r="W228" s="18"/>
      <c r="X228" s="17"/>
      <c r="Y228" s="18"/>
      <c r="Z228" s="19"/>
      <c r="AB228" s="20"/>
      <c r="AC228" s="15"/>
      <c r="AD228" s="15"/>
    </row>
    <row r="229">
      <c r="F229" s="15"/>
      <c r="G229" s="15"/>
      <c r="H229" s="15"/>
      <c r="K229" s="16"/>
      <c r="R229" s="17"/>
      <c r="S229" s="17"/>
      <c r="T229" s="17"/>
      <c r="U229" s="17"/>
      <c r="V229" s="18"/>
      <c r="W229" s="18"/>
      <c r="X229" s="17"/>
      <c r="Y229" s="18"/>
      <c r="Z229" s="19"/>
      <c r="AB229" s="20"/>
      <c r="AC229" s="15"/>
      <c r="AD229" s="15"/>
    </row>
    <row r="230">
      <c r="F230" s="15"/>
      <c r="G230" s="15"/>
      <c r="H230" s="15"/>
      <c r="K230" s="16"/>
      <c r="R230" s="17"/>
      <c r="S230" s="17"/>
      <c r="T230" s="17"/>
      <c r="U230" s="17"/>
      <c r="V230" s="18"/>
      <c r="W230" s="18"/>
      <c r="X230" s="17"/>
      <c r="Y230" s="18"/>
      <c r="Z230" s="19"/>
      <c r="AB230" s="20"/>
      <c r="AC230" s="15"/>
      <c r="AD230" s="15"/>
    </row>
    <row r="231">
      <c r="F231" s="15"/>
      <c r="G231" s="15"/>
      <c r="H231" s="15"/>
      <c r="K231" s="16"/>
      <c r="R231" s="17"/>
      <c r="S231" s="17"/>
      <c r="T231" s="17"/>
      <c r="U231" s="17"/>
      <c r="V231" s="18"/>
      <c r="W231" s="18"/>
      <c r="X231" s="17"/>
      <c r="Y231" s="18"/>
      <c r="Z231" s="19"/>
      <c r="AB231" s="20"/>
      <c r="AC231" s="15"/>
      <c r="AD231" s="15"/>
    </row>
    <row r="232">
      <c r="F232" s="15"/>
      <c r="G232" s="15"/>
      <c r="H232" s="15"/>
      <c r="K232" s="16"/>
      <c r="R232" s="17"/>
      <c r="S232" s="17"/>
      <c r="T232" s="17"/>
      <c r="U232" s="17"/>
      <c r="V232" s="18"/>
      <c r="W232" s="18"/>
      <c r="X232" s="17"/>
      <c r="Y232" s="18"/>
      <c r="Z232" s="19"/>
      <c r="AB232" s="20"/>
      <c r="AC232" s="15"/>
      <c r="AD232" s="15"/>
    </row>
    <row r="233">
      <c r="F233" s="15"/>
      <c r="G233" s="15"/>
      <c r="H233" s="15"/>
      <c r="K233" s="16"/>
      <c r="R233" s="17"/>
      <c r="S233" s="17"/>
      <c r="T233" s="17"/>
      <c r="U233" s="17"/>
      <c r="V233" s="18"/>
      <c r="W233" s="18"/>
      <c r="X233" s="17"/>
      <c r="Y233" s="18"/>
      <c r="Z233" s="19"/>
      <c r="AB233" s="20"/>
      <c r="AC233" s="15"/>
      <c r="AD233" s="15"/>
    </row>
    <row r="234">
      <c r="F234" s="15"/>
      <c r="G234" s="15"/>
      <c r="H234" s="15"/>
      <c r="K234" s="16"/>
      <c r="R234" s="17"/>
      <c r="S234" s="17"/>
      <c r="T234" s="17"/>
      <c r="U234" s="17"/>
      <c r="V234" s="18"/>
      <c r="W234" s="18"/>
      <c r="X234" s="17"/>
      <c r="Y234" s="18"/>
      <c r="Z234" s="19"/>
      <c r="AB234" s="20"/>
      <c r="AC234" s="15"/>
      <c r="AD234" s="15"/>
    </row>
    <row r="235">
      <c r="F235" s="15"/>
      <c r="G235" s="15"/>
      <c r="H235" s="15"/>
      <c r="K235" s="16"/>
      <c r="R235" s="17"/>
      <c r="S235" s="17"/>
      <c r="T235" s="17"/>
      <c r="U235" s="17"/>
      <c r="V235" s="18"/>
      <c r="W235" s="18"/>
      <c r="X235" s="17"/>
      <c r="Y235" s="18"/>
      <c r="Z235" s="19"/>
      <c r="AB235" s="20"/>
      <c r="AC235" s="15"/>
      <c r="AD235" s="15"/>
    </row>
    <row r="236">
      <c r="F236" s="15"/>
      <c r="G236" s="15"/>
      <c r="H236" s="15"/>
      <c r="K236" s="16"/>
      <c r="R236" s="17"/>
      <c r="S236" s="17"/>
      <c r="T236" s="17"/>
      <c r="U236" s="17"/>
      <c r="V236" s="18"/>
      <c r="W236" s="18"/>
      <c r="X236" s="17"/>
      <c r="Y236" s="18"/>
      <c r="Z236" s="19"/>
      <c r="AB236" s="20"/>
      <c r="AC236" s="15"/>
      <c r="AD236" s="15"/>
    </row>
    <row r="237">
      <c r="F237" s="15"/>
      <c r="G237" s="15"/>
      <c r="H237" s="15"/>
      <c r="K237" s="16"/>
      <c r="R237" s="17"/>
      <c r="S237" s="17"/>
      <c r="T237" s="17"/>
      <c r="U237" s="17"/>
      <c r="V237" s="18"/>
      <c r="W237" s="18"/>
      <c r="X237" s="17"/>
      <c r="Y237" s="18"/>
      <c r="Z237" s="19"/>
      <c r="AB237" s="20"/>
      <c r="AC237" s="15"/>
      <c r="AD237" s="15"/>
    </row>
    <row r="238">
      <c r="F238" s="15"/>
      <c r="G238" s="15"/>
      <c r="H238" s="15"/>
      <c r="K238" s="16"/>
      <c r="R238" s="17"/>
      <c r="S238" s="17"/>
      <c r="T238" s="17"/>
      <c r="U238" s="17"/>
      <c r="V238" s="18"/>
      <c r="W238" s="18"/>
      <c r="X238" s="17"/>
      <c r="Y238" s="18"/>
      <c r="Z238" s="19"/>
      <c r="AB238" s="20"/>
      <c r="AC238" s="15"/>
      <c r="AD238" s="15"/>
    </row>
    <row r="239">
      <c r="F239" s="15"/>
      <c r="G239" s="15"/>
      <c r="H239" s="15"/>
      <c r="K239" s="16"/>
      <c r="R239" s="17"/>
      <c r="S239" s="17"/>
      <c r="T239" s="17"/>
      <c r="U239" s="17"/>
      <c r="V239" s="18"/>
      <c r="W239" s="18"/>
      <c r="X239" s="17"/>
      <c r="Y239" s="18"/>
      <c r="Z239" s="19"/>
      <c r="AB239" s="20"/>
      <c r="AC239" s="15"/>
      <c r="AD239" s="15"/>
    </row>
    <row r="240">
      <c r="F240" s="15"/>
      <c r="G240" s="15"/>
      <c r="H240" s="15"/>
      <c r="K240" s="16"/>
      <c r="R240" s="17"/>
      <c r="S240" s="17"/>
      <c r="T240" s="17"/>
      <c r="U240" s="17"/>
      <c r="V240" s="18"/>
      <c r="W240" s="18"/>
      <c r="X240" s="17"/>
      <c r="Y240" s="18"/>
      <c r="Z240" s="19"/>
      <c r="AB240" s="20"/>
      <c r="AC240" s="15"/>
      <c r="AD240" s="15"/>
    </row>
    <row r="241">
      <c r="F241" s="15"/>
      <c r="G241" s="15"/>
      <c r="H241" s="15"/>
      <c r="K241" s="16"/>
      <c r="R241" s="17"/>
      <c r="S241" s="17"/>
      <c r="T241" s="17"/>
      <c r="U241" s="17"/>
      <c r="V241" s="18"/>
      <c r="W241" s="18"/>
      <c r="X241" s="17"/>
      <c r="Y241" s="18"/>
      <c r="Z241" s="19"/>
      <c r="AB241" s="20"/>
      <c r="AC241" s="15"/>
      <c r="AD241" s="15"/>
    </row>
    <row r="242">
      <c r="F242" s="15"/>
      <c r="G242" s="15"/>
      <c r="H242" s="15"/>
      <c r="K242" s="16"/>
      <c r="R242" s="17"/>
      <c r="S242" s="17"/>
      <c r="T242" s="17"/>
      <c r="U242" s="17"/>
      <c r="V242" s="18"/>
      <c r="W242" s="18"/>
      <c r="X242" s="17"/>
      <c r="Y242" s="18"/>
      <c r="Z242" s="19"/>
      <c r="AB242" s="20"/>
      <c r="AC242" s="15"/>
      <c r="AD242" s="15"/>
    </row>
    <row r="243">
      <c r="F243" s="15"/>
      <c r="G243" s="15"/>
      <c r="H243" s="15"/>
      <c r="K243" s="16"/>
      <c r="R243" s="17"/>
      <c r="S243" s="17"/>
      <c r="T243" s="17"/>
      <c r="U243" s="17"/>
      <c r="V243" s="18"/>
      <c r="W243" s="18"/>
      <c r="X243" s="17"/>
      <c r="Y243" s="18"/>
      <c r="Z243" s="19"/>
      <c r="AB243" s="20"/>
      <c r="AC243" s="15"/>
      <c r="AD243" s="15"/>
    </row>
    <row r="244">
      <c r="F244" s="15"/>
      <c r="G244" s="15"/>
      <c r="H244" s="15"/>
      <c r="K244" s="16"/>
      <c r="R244" s="17"/>
      <c r="S244" s="17"/>
      <c r="T244" s="17"/>
      <c r="U244" s="17"/>
      <c r="V244" s="18"/>
      <c r="W244" s="18"/>
      <c r="X244" s="17"/>
      <c r="Y244" s="18"/>
      <c r="Z244" s="19"/>
      <c r="AB244" s="20"/>
      <c r="AC244" s="15"/>
      <c r="AD244" s="15"/>
    </row>
    <row r="245">
      <c r="F245" s="15"/>
      <c r="G245" s="15"/>
      <c r="H245" s="15"/>
      <c r="K245" s="16"/>
      <c r="R245" s="17"/>
      <c r="S245" s="17"/>
      <c r="T245" s="17"/>
      <c r="U245" s="17"/>
      <c r="V245" s="18"/>
      <c r="W245" s="18"/>
      <c r="X245" s="17"/>
      <c r="Y245" s="18"/>
      <c r="Z245" s="19"/>
      <c r="AB245" s="20"/>
      <c r="AC245" s="15"/>
      <c r="AD245" s="15"/>
    </row>
    <row r="246">
      <c r="F246" s="15"/>
      <c r="G246" s="15"/>
      <c r="H246" s="15"/>
      <c r="K246" s="16"/>
      <c r="R246" s="17"/>
      <c r="S246" s="17"/>
      <c r="T246" s="17"/>
      <c r="U246" s="17"/>
      <c r="V246" s="18"/>
      <c r="W246" s="18"/>
      <c r="X246" s="17"/>
      <c r="Y246" s="18"/>
      <c r="Z246" s="19"/>
      <c r="AB246" s="20"/>
      <c r="AC246" s="15"/>
      <c r="AD246" s="15"/>
    </row>
    <row r="247">
      <c r="F247" s="15"/>
      <c r="G247" s="15"/>
      <c r="H247" s="15"/>
      <c r="K247" s="16"/>
      <c r="R247" s="17"/>
      <c r="S247" s="17"/>
      <c r="T247" s="17"/>
      <c r="U247" s="17"/>
      <c r="V247" s="18"/>
      <c r="W247" s="18"/>
      <c r="X247" s="17"/>
      <c r="Y247" s="18"/>
      <c r="Z247" s="19"/>
      <c r="AB247" s="20"/>
      <c r="AC247" s="15"/>
      <c r="AD247" s="15"/>
    </row>
    <row r="248">
      <c r="F248" s="15"/>
      <c r="G248" s="15"/>
      <c r="H248" s="15"/>
      <c r="K248" s="16"/>
      <c r="R248" s="17"/>
      <c r="S248" s="17"/>
      <c r="T248" s="17"/>
      <c r="U248" s="17"/>
      <c r="V248" s="18"/>
      <c r="W248" s="18"/>
      <c r="X248" s="17"/>
      <c r="Y248" s="18"/>
      <c r="Z248" s="19"/>
      <c r="AB248" s="20"/>
      <c r="AC248" s="15"/>
      <c r="AD248" s="15"/>
    </row>
    <row r="249">
      <c r="F249" s="15"/>
      <c r="G249" s="15"/>
      <c r="H249" s="15"/>
      <c r="K249" s="16"/>
      <c r="R249" s="17"/>
      <c r="S249" s="17"/>
      <c r="T249" s="17"/>
      <c r="U249" s="17"/>
      <c r="V249" s="18"/>
      <c r="W249" s="18"/>
      <c r="X249" s="17"/>
      <c r="Y249" s="18"/>
      <c r="Z249" s="19"/>
      <c r="AB249" s="20"/>
      <c r="AC249" s="15"/>
      <c r="AD249" s="15"/>
    </row>
    <row r="250">
      <c r="F250" s="15"/>
      <c r="G250" s="15"/>
      <c r="H250" s="15"/>
      <c r="K250" s="16"/>
      <c r="R250" s="17"/>
      <c r="S250" s="17"/>
      <c r="T250" s="17"/>
      <c r="U250" s="17"/>
      <c r="V250" s="18"/>
      <c r="W250" s="18"/>
      <c r="X250" s="17"/>
      <c r="Y250" s="18"/>
      <c r="Z250" s="19"/>
      <c r="AB250" s="20"/>
      <c r="AC250" s="15"/>
      <c r="AD250" s="15"/>
    </row>
    <row r="251">
      <c r="F251" s="15"/>
      <c r="G251" s="15"/>
      <c r="H251" s="15"/>
      <c r="K251" s="16"/>
      <c r="R251" s="17"/>
      <c r="S251" s="17"/>
      <c r="T251" s="17"/>
      <c r="U251" s="17"/>
      <c r="V251" s="18"/>
      <c r="W251" s="18"/>
      <c r="X251" s="17"/>
      <c r="Y251" s="18"/>
      <c r="Z251" s="19"/>
      <c r="AB251" s="20"/>
      <c r="AC251" s="15"/>
      <c r="AD251" s="15"/>
    </row>
    <row r="252">
      <c r="F252" s="15"/>
      <c r="G252" s="15"/>
      <c r="H252" s="15"/>
      <c r="K252" s="16"/>
      <c r="R252" s="17"/>
      <c r="S252" s="17"/>
      <c r="T252" s="17"/>
      <c r="U252" s="17"/>
      <c r="V252" s="18"/>
      <c r="W252" s="18"/>
      <c r="X252" s="17"/>
      <c r="Y252" s="18"/>
      <c r="Z252" s="19"/>
      <c r="AB252" s="20"/>
      <c r="AC252" s="15"/>
      <c r="AD252" s="15"/>
    </row>
    <row r="253">
      <c r="F253" s="15"/>
      <c r="G253" s="15"/>
      <c r="H253" s="15"/>
      <c r="K253" s="16"/>
      <c r="R253" s="17"/>
      <c r="S253" s="17"/>
      <c r="T253" s="17"/>
      <c r="U253" s="17"/>
      <c r="V253" s="18"/>
      <c r="W253" s="18"/>
      <c r="X253" s="17"/>
      <c r="Y253" s="18"/>
      <c r="Z253" s="19"/>
      <c r="AB253" s="20"/>
      <c r="AC253" s="15"/>
      <c r="AD253" s="15"/>
    </row>
    <row r="254">
      <c r="F254" s="15"/>
      <c r="G254" s="15"/>
      <c r="H254" s="15"/>
      <c r="K254" s="16"/>
      <c r="R254" s="17"/>
      <c r="S254" s="17"/>
      <c r="T254" s="17"/>
      <c r="U254" s="17"/>
      <c r="V254" s="18"/>
      <c r="W254" s="18"/>
      <c r="X254" s="17"/>
      <c r="Y254" s="18"/>
      <c r="Z254" s="19"/>
      <c r="AB254" s="20"/>
      <c r="AC254" s="15"/>
      <c r="AD254" s="15"/>
    </row>
    <row r="255">
      <c r="F255" s="15"/>
      <c r="G255" s="15"/>
      <c r="H255" s="15"/>
      <c r="K255" s="16"/>
      <c r="R255" s="17"/>
      <c r="S255" s="17"/>
      <c r="T255" s="17"/>
      <c r="U255" s="17"/>
      <c r="V255" s="18"/>
      <c r="W255" s="18"/>
      <c r="X255" s="17"/>
      <c r="Y255" s="18"/>
      <c r="Z255" s="19"/>
      <c r="AB255" s="20"/>
      <c r="AC255" s="15"/>
      <c r="AD255" s="15"/>
    </row>
    <row r="256">
      <c r="F256" s="15"/>
      <c r="G256" s="15"/>
      <c r="H256" s="15"/>
      <c r="K256" s="16"/>
      <c r="R256" s="17"/>
      <c r="S256" s="17"/>
      <c r="T256" s="17"/>
      <c r="U256" s="17"/>
      <c r="V256" s="18"/>
      <c r="W256" s="18"/>
      <c r="X256" s="17"/>
      <c r="Y256" s="18"/>
      <c r="Z256" s="19"/>
      <c r="AB256" s="20"/>
      <c r="AC256" s="15"/>
      <c r="AD256" s="15"/>
    </row>
    <row r="257">
      <c r="F257" s="15"/>
      <c r="G257" s="15"/>
      <c r="H257" s="15"/>
      <c r="K257" s="16"/>
      <c r="R257" s="17"/>
      <c r="S257" s="17"/>
      <c r="T257" s="17"/>
      <c r="U257" s="17"/>
      <c r="V257" s="18"/>
      <c r="W257" s="18"/>
      <c r="X257" s="17"/>
      <c r="Y257" s="18"/>
      <c r="Z257" s="19"/>
      <c r="AB257" s="20"/>
      <c r="AC257" s="15"/>
      <c r="AD257" s="15"/>
    </row>
    <row r="258">
      <c r="F258" s="15"/>
      <c r="G258" s="15"/>
      <c r="H258" s="15"/>
      <c r="K258" s="16"/>
      <c r="R258" s="17"/>
      <c r="S258" s="17"/>
      <c r="T258" s="17"/>
      <c r="U258" s="17"/>
      <c r="V258" s="18"/>
      <c r="W258" s="18"/>
      <c r="X258" s="17"/>
      <c r="Y258" s="18"/>
      <c r="Z258" s="19"/>
      <c r="AB258" s="20"/>
      <c r="AC258" s="15"/>
      <c r="AD258" s="15"/>
    </row>
    <row r="259">
      <c r="F259" s="15"/>
      <c r="G259" s="15"/>
      <c r="H259" s="15"/>
      <c r="K259" s="16"/>
      <c r="R259" s="17"/>
      <c r="S259" s="17"/>
      <c r="T259" s="17"/>
      <c r="U259" s="17"/>
      <c r="V259" s="18"/>
      <c r="W259" s="18"/>
      <c r="X259" s="17"/>
      <c r="Y259" s="18"/>
      <c r="Z259" s="19"/>
      <c r="AB259" s="20"/>
      <c r="AC259" s="15"/>
      <c r="AD259" s="15"/>
    </row>
    <row r="260">
      <c r="F260" s="15"/>
      <c r="G260" s="15"/>
      <c r="H260" s="15"/>
      <c r="K260" s="16"/>
      <c r="R260" s="17"/>
      <c r="S260" s="17"/>
      <c r="T260" s="17"/>
      <c r="U260" s="17"/>
      <c r="V260" s="18"/>
      <c r="W260" s="18"/>
      <c r="X260" s="17"/>
      <c r="Y260" s="18"/>
      <c r="Z260" s="19"/>
      <c r="AB260" s="20"/>
      <c r="AC260" s="15"/>
      <c r="AD260" s="15"/>
    </row>
    <row r="261">
      <c r="F261" s="15"/>
      <c r="G261" s="15"/>
      <c r="H261" s="15"/>
      <c r="K261" s="16"/>
      <c r="R261" s="17"/>
      <c r="S261" s="17"/>
      <c r="T261" s="17"/>
      <c r="U261" s="17"/>
      <c r="V261" s="18"/>
      <c r="W261" s="18"/>
      <c r="X261" s="17"/>
      <c r="Y261" s="18"/>
      <c r="Z261" s="19"/>
      <c r="AB261" s="20"/>
      <c r="AC261" s="15"/>
      <c r="AD261" s="15"/>
    </row>
    <row r="262">
      <c r="F262" s="15"/>
      <c r="G262" s="15"/>
      <c r="H262" s="15"/>
      <c r="K262" s="16"/>
      <c r="R262" s="17"/>
      <c r="S262" s="17"/>
      <c r="T262" s="17"/>
      <c r="U262" s="17"/>
      <c r="V262" s="18"/>
      <c r="W262" s="18"/>
      <c r="X262" s="17"/>
      <c r="Y262" s="18"/>
      <c r="Z262" s="19"/>
      <c r="AB262" s="20"/>
      <c r="AC262" s="15"/>
      <c r="AD262" s="15"/>
    </row>
    <row r="263">
      <c r="F263" s="15"/>
      <c r="G263" s="15"/>
      <c r="H263" s="15"/>
      <c r="K263" s="16"/>
      <c r="R263" s="17"/>
      <c r="S263" s="17"/>
      <c r="T263" s="17"/>
      <c r="U263" s="17"/>
      <c r="V263" s="18"/>
      <c r="W263" s="18"/>
      <c r="X263" s="17"/>
      <c r="Y263" s="18"/>
      <c r="Z263" s="19"/>
      <c r="AB263" s="20"/>
      <c r="AC263" s="15"/>
      <c r="AD263" s="15"/>
    </row>
    <row r="264">
      <c r="F264" s="15"/>
      <c r="G264" s="15"/>
      <c r="H264" s="15"/>
      <c r="K264" s="16"/>
      <c r="R264" s="17"/>
      <c r="S264" s="17"/>
      <c r="T264" s="17"/>
      <c r="U264" s="17"/>
      <c r="V264" s="18"/>
      <c r="W264" s="18"/>
      <c r="X264" s="17"/>
      <c r="Y264" s="18"/>
      <c r="Z264" s="19"/>
      <c r="AB264" s="20"/>
      <c r="AC264" s="15"/>
      <c r="AD264" s="15"/>
    </row>
    <row r="265">
      <c r="F265" s="15"/>
      <c r="G265" s="15"/>
      <c r="H265" s="15"/>
      <c r="K265" s="16"/>
      <c r="R265" s="17"/>
      <c r="S265" s="17"/>
      <c r="T265" s="17"/>
      <c r="U265" s="17"/>
      <c r="V265" s="18"/>
      <c r="W265" s="18"/>
      <c r="X265" s="17"/>
      <c r="Y265" s="18"/>
      <c r="Z265" s="19"/>
      <c r="AB265" s="20"/>
      <c r="AC265" s="15"/>
      <c r="AD265" s="15"/>
    </row>
    <row r="266">
      <c r="F266" s="15"/>
      <c r="G266" s="15"/>
      <c r="H266" s="15"/>
      <c r="K266" s="16"/>
      <c r="R266" s="17"/>
      <c r="S266" s="17"/>
      <c r="T266" s="17"/>
      <c r="U266" s="17"/>
      <c r="V266" s="18"/>
      <c r="W266" s="18"/>
      <c r="X266" s="17"/>
      <c r="Y266" s="18"/>
      <c r="Z266" s="19"/>
      <c r="AB266" s="20"/>
      <c r="AC266" s="15"/>
      <c r="AD266" s="15"/>
    </row>
    <row r="267">
      <c r="F267" s="15"/>
      <c r="G267" s="15"/>
      <c r="H267" s="15"/>
      <c r="K267" s="16"/>
      <c r="R267" s="17"/>
      <c r="S267" s="17"/>
      <c r="T267" s="17"/>
      <c r="U267" s="17"/>
      <c r="V267" s="18"/>
      <c r="W267" s="18"/>
      <c r="X267" s="17"/>
      <c r="Y267" s="18"/>
      <c r="Z267" s="19"/>
      <c r="AB267" s="20"/>
      <c r="AC267" s="15"/>
      <c r="AD267" s="15"/>
    </row>
    <row r="268">
      <c r="F268" s="15"/>
      <c r="G268" s="15"/>
      <c r="H268" s="15"/>
      <c r="K268" s="16"/>
      <c r="R268" s="17"/>
      <c r="S268" s="17"/>
      <c r="T268" s="17"/>
      <c r="U268" s="17"/>
      <c r="V268" s="18"/>
      <c r="W268" s="18"/>
      <c r="X268" s="17"/>
      <c r="Y268" s="18"/>
      <c r="Z268" s="19"/>
      <c r="AB268" s="20"/>
      <c r="AC268" s="15"/>
      <c r="AD268" s="15"/>
    </row>
    <row r="269">
      <c r="F269" s="15"/>
      <c r="G269" s="15"/>
      <c r="H269" s="15"/>
      <c r="K269" s="16"/>
      <c r="R269" s="17"/>
      <c r="S269" s="17"/>
      <c r="T269" s="17"/>
      <c r="U269" s="17"/>
      <c r="V269" s="18"/>
      <c r="W269" s="18"/>
      <c r="X269" s="17"/>
      <c r="Y269" s="18"/>
      <c r="Z269" s="19"/>
      <c r="AB269" s="20"/>
      <c r="AC269" s="15"/>
      <c r="AD269" s="15"/>
    </row>
    <row r="270">
      <c r="F270" s="15"/>
      <c r="G270" s="15"/>
      <c r="H270" s="15"/>
      <c r="K270" s="16"/>
      <c r="R270" s="17"/>
      <c r="S270" s="17"/>
      <c r="T270" s="17"/>
      <c r="U270" s="17"/>
      <c r="V270" s="18"/>
      <c r="W270" s="18"/>
      <c r="X270" s="17"/>
      <c r="Y270" s="18"/>
      <c r="Z270" s="19"/>
      <c r="AB270" s="20"/>
      <c r="AC270" s="15"/>
      <c r="AD270" s="15"/>
    </row>
    <row r="271">
      <c r="F271" s="15"/>
      <c r="G271" s="15"/>
      <c r="H271" s="15"/>
      <c r="K271" s="16"/>
      <c r="R271" s="17"/>
      <c r="S271" s="17"/>
      <c r="T271" s="17"/>
      <c r="U271" s="17"/>
      <c r="V271" s="18"/>
      <c r="W271" s="18"/>
      <c r="X271" s="17"/>
      <c r="Y271" s="18"/>
      <c r="Z271" s="19"/>
      <c r="AB271" s="20"/>
      <c r="AC271" s="15"/>
      <c r="AD271" s="15"/>
    </row>
    <row r="272">
      <c r="F272" s="15"/>
      <c r="G272" s="15"/>
      <c r="H272" s="15"/>
      <c r="K272" s="16"/>
      <c r="R272" s="17"/>
      <c r="S272" s="17"/>
      <c r="T272" s="17"/>
      <c r="U272" s="17"/>
      <c r="V272" s="18"/>
      <c r="W272" s="18"/>
      <c r="X272" s="17"/>
      <c r="Y272" s="18"/>
      <c r="Z272" s="19"/>
      <c r="AB272" s="20"/>
      <c r="AC272" s="15"/>
      <c r="AD272" s="15"/>
    </row>
    <row r="273">
      <c r="F273" s="15"/>
      <c r="G273" s="15"/>
      <c r="H273" s="15"/>
      <c r="K273" s="16"/>
      <c r="R273" s="17"/>
      <c r="S273" s="17"/>
      <c r="T273" s="17"/>
      <c r="U273" s="17"/>
      <c r="V273" s="18"/>
      <c r="W273" s="18"/>
      <c r="X273" s="17"/>
      <c r="Y273" s="18"/>
      <c r="Z273" s="19"/>
      <c r="AB273" s="20"/>
      <c r="AC273" s="15"/>
      <c r="AD273" s="15"/>
    </row>
    <row r="274">
      <c r="F274" s="15"/>
      <c r="G274" s="15"/>
      <c r="H274" s="15"/>
      <c r="K274" s="16"/>
      <c r="R274" s="17"/>
      <c r="S274" s="17"/>
      <c r="T274" s="17"/>
      <c r="U274" s="17"/>
      <c r="V274" s="18"/>
      <c r="W274" s="18"/>
      <c r="X274" s="17"/>
      <c r="Y274" s="18"/>
      <c r="Z274" s="19"/>
      <c r="AB274" s="20"/>
      <c r="AC274" s="15"/>
      <c r="AD274" s="15"/>
    </row>
    <row r="275">
      <c r="F275" s="15"/>
      <c r="G275" s="15"/>
      <c r="H275" s="15"/>
      <c r="K275" s="16"/>
      <c r="R275" s="17"/>
      <c r="S275" s="17"/>
      <c r="T275" s="17"/>
      <c r="U275" s="17"/>
      <c r="V275" s="18"/>
      <c r="W275" s="18"/>
      <c r="X275" s="17"/>
      <c r="Y275" s="18"/>
      <c r="Z275" s="19"/>
      <c r="AB275" s="20"/>
      <c r="AC275" s="15"/>
      <c r="AD275" s="15"/>
    </row>
    <row r="276">
      <c r="F276" s="15"/>
      <c r="G276" s="15"/>
      <c r="H276" s="15"/>
      <c r="K276" s="16"/>
      <c r="R276" s="17"/>
      <c r="S276" s="17"/>
      <c r="T276" s="17"/>
      <c r="U276" s="17"/>
      <c r="V276" s="18"/>
      <c r="W276" s="18"/>
      <c r="X276" s="17"/>
      <c r="Y276" s="18"/>
      <c r="Z276" s="19"/>
      <c r="AB276" s="20"/>
      <c r="AC276" s="15"/>
      <c r="AD276" s="15"/>
    </row>
    <row r="277">
      <c r="F277" s="15"/>
      <c r="G277" s="15"/>
      <c r="H277" s="15"/>
      <c r="K277" s="16"/>
      <c r="R277" s="17"/>
      <c r="S277" s="17"/>
      <c r="T277" s="17"/>
      <c r="U277" s="17"/>
      <c r="V277" s="18"/>
      <c r="W277" s="18"/>
      <c r="X277" s="17"/>
      <c r="Y277" s="18"/>
      <c r="Z277" s="19"/>
      <c r="AB277" s="20"/>
      <c r="AC277" s="15"/>
      <c r="AD277" s="15"/>
    </row>
    <row r="278">
      <c r="F278" s="15"/>
      <c r="G278" s="15"/>
      <c r="H278" s="15"/>
      <c r="K278" s="16"/>
      <c r="R278" s="17"/>
      <c r="S278" s="17"/>
      <c r="T278" s="17"/>
      <c r="U278" s="17"/>
      <c r="V278" s="18"/>
      <c r="W278" s="18"/>
      <c r="X278" s="17"/>
      <c r="Y278" s="18"/>
      <c r="Z278" s="19"/>
      <c r="AB278" s="20"/>
      <c r="AC278" s="15"/>
      <c r="AD278" s="15"/>
    </row>
    <row r="279">
      <c r="F279" s="15"/>
      <c r="G279" s="15"/>
      <c r="H279" s="15"/>
      <c r="K279" s="16"/>
      <c r="R279" s="17"/>
      <c r="S279" s="17"/>
      <c r="T279" s="17"/>
      <c r="U279" s="17"/>
      <c r="V279" s="18"/>
      <c r="W279" s="18"/>
      <c r="X279" s="17"/>
      <c r="Y279" s="18"/>
      <c r="Z279" s="19"/>
      <c r="AB279" s="20"/>
      <c r="AC279" s="15"/>
      <c r="AD279" s="15"/>
    </row>
    <row r="280">
      <c r="F280" s="15"/>
      <c r="G280" s="15"/>
      <c r="H280" s="15"/>
      <c r="K280" s="16"/>
      <c r="R280" s="17"/>
      <c r="S280" s="17"/>
      <c r="T280" s="17"/>
      <c r="U280" s="17"/>
      <c r="V280" s="18"/>
      <c r="W280" s="18"/>
      <c r="X280" s="17"/>
      <c r="Y280" s="18"/>
      <c r="Z280" s="19"/>
      <c r="AB280" s="20"/>
      <c r="AC280" s="15"/>
      <c r="AD280" s="15"/>
    </row>
    <row r="281">
      <c r="F281" s="15"/>
      <c r="G281" s="15"/>
      <c r="H281" s="15"/>
      <c r="K281" s="16"/>
      <c r="R281" s="17"/>
      <c r="S281" s="17"/>
      <c r="T281" s="17"/>
      <c r="U281" s="17"/>
      <c r="V281" s="18"/>
      <c r="W281" s="18"/>
      <c r="X281" s="17"/>
      <c r="Y281" s="18"/>
      <c r="Z281" s="19"/>
      <c r="AB281" s="20"/>
      <c r="AC281" s="15"/>
      <c r="AD281" s="15"/>
    </row>
    <row r="282">
      <c r="F282" s="15"/>
      <c r="G282" s="15"/>
      <c r="H282" s="15"/>
      <c r="K282" s="16"/>
      <c r="R282" s="17"/>
      <c r="S282" s="17"/>
      <c r="T282" s="17"/>
      <c r="U282" s="17"/>
      <c r="V282" s="18"/>
      <c r="W282" s="18"/>
      <c r="X282" s="17"/>
      <c r="Y282" s="18"/>
      <c r="Z282" s="19"/>
      <c r="AB282" s="20"/>
      <c r="AC282" s="15"/>
      <c r="AD282" s="15"/>
    </row>
    <row r="283">
      <c r="F283" s="15"/>
      <c r="G283" s="15"/>
      <c r="H283" s="15"/>
      <c r="K283" s="16"/>
      <c r="R283" s="17"/>
      <c r="S283" s="17"/>
      <c r="T283" s="17"/>
      <c r="U283" s="17"/>
      <c r="V283" s="18"/>
      <c r="W283" s="18"/>
      <c r="X283" s="17"/>
      <c r="Y283" s="18"/>
      <c r="Z283" s="19"/>
      <c r="AB283" s="20"/>
      <c r="AC283" s="15"/>
      <c r="AD283" s="15"/>
    </row>
    <row r="284">
      <c r="F284" s="15"/>
      <c r="G284" s="15"/>
      <c r="H284" s="15"/>
      <c r="K284" s="16"/>
      <c r="R284" s="17"/>
      <c r="S284" s="17"/>
      <c r="T284" s="17"/>
      <c r="U284" s="17"/>
      <c r="V284" s="18"/>
      <c r="W284" s="18"/>
      <c r="X284" s="17"/>
      <c r="Y284" s="18"/>
      <c r="Z284" s="19"/>
      <c r="AB284" s="20"/>
      <c r="AC284" s="15"/>
      <c r="AD284" s="15"/>
    </row>
    <row r="285">
      <c r="F285" s="15"/>
      <c r="G285" s="15"/>
      <c r="H285" s="15"/>
      <c r="K285" s="16"/>
      <c r="R285" s="17"/>
      <c r="S285" s="17"/>
      <c r="T285" s="17"/>
      <c r="U285" s="17"/>
      <c r="V285" s="18"/>
      <c r="W285" s="18"/>
      <c r="X285" s="17"/>
      <c r="Y285" s="18"/>
      <c r="Z285" s="19"/>
      <c r="AB285" s="20"/>
      <c r="AC285" s="15"/>
      <c r="AD285" s="15"/>
    </row>
    <row r="286">
      <c r="F286" s="15"/>
      <c r="G286" s="15"/>
      <c r="H286" s="15"/>
      <c r="K286" s="16"/>
      <c r="R286" s="17"/>
      <c r="S286" s="17"/>
      <c r="T286" s="17"/>
      <c r="U286" s="17"/>
      <c r="V286" s="18"/>
      <c r="W286" s="18"/>
      <c r="X286" s="17"/>
      <c r="Y286" s="18"/>
      <c r="Z286" s="19"/>
      <c r="AB286" s="20"/>
      <c r="AC286" s="15"/>
      <c r="AD286" s="15"/>
    </row>
    <row r="287">
      <c r="F287" s="15"/>
      <c r="G287" s="15"/>
      <c r="H287" s="15"/>
      <c r="K287" s="16"/>
      <c r="R287" s="17"/>
      <c r="S287" s="17"/>
      <c r="T287" s="17"/>
      <c r="U287" s="17"/>
      <c r="V287" s="18"/>
      <c r="W287" s="18"/>
      <c r="X287" s="17"/>
      <c r="Y287" s="18"/>
      <c r="Z287" s="19"/>
      <c r="AB287" s="20"/>
      <c r="AC287" s="15"/>
      <c r="AD287" s="15"/>
    </row>
    <row r="288">
      <c r="F288" s="15"/>
      <c r="G288" s="15"/>
      <c r="H288" s="15"/>
      <c r="K288" s="16"/>
      <c r="R288" s="17"/>
      <c r="S288" s="17"/>
      <c r="T288" s="17"/>
      <c r="U288" s="17"/>
      <c r="V288" s="18"/>
      <c r="W288" s="18"/>
      <c r="X288" s="17"/>
      <c r="Y288" s="18"/>
      <c r="Z288" s="19"/>
      <c r="AB288" s="20"/>
      <c r="AC288" s="15"/>
      <c r="AD288" s="15"/>
    </row>
    <row r="289">
      <c r="F289" s="15"/>
      <c r="G289" s="15"/>
      <c r="H289" s="15"/>
      <c r="K289" s="16"/>
      <c r="R289" s="17"/>
      <c r="S289" s="17"/>
      <c r="T289" s="17"/>
      <c r="U289" s="17"/>
      <c r="V289" s="18"/>
      <c r="W289" s="18"/>
      <c r="X289" s="17"/>
      <c r="Y289" s="18"/>
      <c r="Z289" s="19"/>
      <c r="AB289" s="20"/>
      <c r="AC289" s="15"/>
      <c r="AD289" s="15"/>
    </row>
    <row r="290">
      <c r="F290" s="15"/>
      <c r="G290" s="15"/>
      <c r="H290" s="15"/>
      <c r="K290" s="16"/>
      <c r="R290" s="17"/>
      <c r="S290" s="17"/>
      <c r="T290" s="17"/>
      <c r="U290" s="17"/>
      <c r="V290" s="18"/>
      <c r="W290" s="18"/>
      <c r="X290" s="17"/>
      <c r="Y290" s="18"/>
      <c r="Z290" s="19"/>
      <c r="AB290" s="20"/>
      <c r="AC290" s="15"/>
      <c r="AD290" s="15"/>
    </row>
    <row r="291">
      <c r="F291" s="15"/>
      <c r="G291" s="15"/>
      <c r="H291" s="15"/>
      <c r="K291" s="16"/>
      <c r="R291" s="17"/>
      <c r="S291" s="17"/>
      <c r="T291" s="17"/>
      <c r="U291" s="17"/>
      <c r="V291" s="18"/>
      <c r="W291" s="18"/>
      <c r="X291" s="17"/>
      <c r="Y291" s="18"/>
      <c r="Z291" s="19"/>
      <c r="AB291" s="20"/>
      <c r="AC291" s="15"/>
      <c r="AD291" s="15"/>
    </row>
    <row r="292">
      <c r="F292" s="15"/>
      <c r="G292" s="15"/>
      <c r="H292" s="15"/>
      <c r="K292" s="16"/>
      <c r="R292" s="17"/>
      <c r="S292" s="17"/>
      <c r="T292" s="17"/>
      <c r="U292" s="17"/>
      <c r="V292" s="18"/>
      <c r="W292" s="18"/>
      <c r="X292" s="17"/>
      <c r="Y292" s="18"/>
      <c r="Z292" s="19"/>
      <c r="AB292" s="20"/>
      <c r="AC292" s="15"/>
      <c r="AD292" s="15"/>
    </row>
    <row r="293">
      <c r="F293" s="15"/>
      <c r="G293" s="15"/>
      <c r="H293" s="15"/>
      <c r="K293" s="16"/>
      <c r="R293" s="17"/>
      <c r="S293" s="17"/>
      <c r="T293" s="17"/>
      <c r="U293" s="17"/>
      <c r="V293" s="18"/>
      <c r="W293" s="18"/>
      <c r="X293" s="17"/>
      <c r="Y293" s="18"/>
      <c r="Z293" s="19"/>
      <c r="AB293" s="20"/>
      <c r="AC293" s="15"/>
      <c r="AD293" s="15"/>
    </row>
    <row r="294">
      <c r="F294" s="15"/>
      <c r="G294" s="15"/>
      <c r="H294" s="15"/>
      <c r="K294" s="16"/>
      <c r="R294" s="17"/>
      <c r="S294" s="17"/>
      <c r="T294" s="17"/>
      <c r="U294" s="17"/>
      <c r="V294" s="18"/>
      <c r="W294" s="18"/>
      <c r="X294" s="17"/>
      <c r="Y294" s="18"/>
      <c r="Z294" s="19"/>
      <c r="AB294" s="20"/>
      <c r="AC294" s="15"/>
      <c r="AD294" s="15"/>
    </row>
    <row r="295">
      <c r="F295" s="15"/>
      <c r="G295" s="15"/>
      <c r="H295" s="15"/>
      <c r="K295" s="16"/>
      <c r="R295" s="17"/>
      <c r="S295" s="17"/>
      <c r="T295" s="17"/>
      <c r="U295" s="17"/>
      <c r="V295" s="18"/>
      <c r="W295" s="18"/>
      <c r="X295" s="17"/>
      <c r="Y295" s="18"/>
      <c r="Z295" s="19"/>
      <c r="AB295" s="20"/>
      <c r="AC295" s="15"/>
      <c r="AD295" s="15"/>
    </row>
    <row r="296">
      <c r="F296" s="15"/>
      <c r="G296" s="15"/>
      <c r="H296" s="15"/>
      <c r="K296" s="16"/>
      <c r="R296" s="17"/>
      <c r="S296" s="17"/>
      <c r="T296" s="17"/>
      <c r="U296" s="17"/>
      <c r="V296" s="18"/>
      <c r="W296" s="18"/>
      <c r="X296" s="17"/>
      <c r="Y296" s="18"/>
      <c r="Z296" s="19"/>
      <c r="AB296" s="20"/>
      <c r="AC296" s="15"/>
      <c r="AD296" s="15"/>
    </row>
    <row r="297">
      <c r="F297" s="15"/>
      <c r="G297" s="15"/>
      <c r="H297" s="15"/>
      <c r="K297" s="16"/>
      <c r="R297" s="17"/>
      <c r="S297" s="17"/>
      <c r="T297" s="17"/>
      <c r="U297" s="17"/>
      <c r="V297" s="18"/>
      <c r="W297" s="18"/>
      <c r="X297" s="17"/>
      <c r="Y297" s="18"/>
      <c r="Z297" s="19"/>
      <c r="AB297" s="20"/>
      <c r="AC297" s="15"/>
      <c r="AD297" s="15"/>
    </row>
    <row r="298">
      <c r="F298" s="15"/>
      <c r="G298" s="15"/>
      <c r="H298" s="15"/>
      <c r="K298" s="16"/>
      <c r="R298" s="17"/>
      <c r="S298" s="17"/>
      <c r="T298" s="17"/>
      <c r="U298" s="17"/>
      <c r="V298" s="18"/>
      <c r="W298" s="18"/>
      <c r="X298" s="17"/>
      <c r="Y298" s="18"/>
      <c r="Z298" s="19"/>
      <c r="AB298" s="20"/>
      <c r="AC298" s="15"/>
      <c r="AD298" s="15"/>
    </row>
    <row r="299">
      <c r="F299" s="15"/>
      <c r="G299" s="15"/>
      <c r="H299" s="15"/>
      <c r="K299" s="16"/>
      <c r="R299" s="17"/>
      <c r="S299" s="17"/>
      <c r="T299" s="17"/>
      <c r="U299" s="17"/>
      <c r="V299" s="18"/>
      <c r="W299" s="18"/>
      <c r="X299" s="17"/>
      <c r="Y299" s="18"/>
      <c r="Z299" s="19"/>
      <c r="AB299" s="20"/>
      <c r="AC299" s="15"/>
      <c r="AD299" s="15"/>
    </row>
    <row r="300">
      <c r="F300" s="15"/>
      <c r="G300" s="15"/>
      <c r="H300" s="15"/>
      <c r="K300" s="16"/>
      <c r="R300" s="17"/>
      <c r="S300" s="17"/>
      <c r="T300" s="17"/>
      <c r="U300" s="17"/>
      <c r="V300" s="18"/>
      <c r="W300" s="18"/>
      <c r="X300" s="17"/>
      <c r="Y300" s="18"/>
      <c r="Z300" s="19"/>
      <c r="AB300" s="20"/>
      <c r="AC300" s="15"/>
      <c r="AD300" s="15"/>
    </row>
    <row r="301">
      <c r="F301" s="15"/>
      <c r="G301" s="15"/>
      <c r="H301" s="15"/>
      <c r="K301" s="16"/>
      <c r="R301" s="17"/>
      <c r="S301" s="17"/>
      <c r="T301" s="17"/>
      <c r="U301" s="17"/>
      <c r="V301" s="18"/>
      <c r="W301" s="18"/>
      <c r="X301" s="17"/>
      <c r="Y301" s="18"/>
      <c r="Z301" s="19"/>
      <c r="AB301" s="20"/>
      <c r="AC301" s="15"/>
      <c r="AD301" s="15"/>
    </row>
    <row r="302">
      <c r="F302" s="15"/>
      <c r="G302" s="15"/>
      <c r="H302" s="15"/>
      <c r="K302" s="16"/>
      <c r="R302" s="17"/>
      <c r="S302" s="17"/>
      <c r="T302" s="17"/>
      <c r="U302" s="17"/>
      <c r="V302" s="18"/>
      <c r="W302" s="18"/>
      <c r="X302" s="17"/>
      <c r="Y302" s="18"/>
      <c r="Z302" s="19"/>
      <c r="AB302" s="20"/>
      <c r="AC302" s="15"/>
      <c r="AD302" s="15"/>
    </row>
    <row r="303">
      <c r="F303" s="15"/>
      <c r="G303" s="15"/>
      <c r="H303" s="15"/>
      <c r="K303" s="16"/>
      <c r="R303" s="17"/>
      <c r="S303" s="17"/>
      <c r="T303" s="17"/>
      <c r="U303" s="17"/>
      <c r="V303" s="18"/>
      <c r="W303" s="18"/>
      <c r="X303" s="17"/>
      <c r="Y303" s="18"/>
      <c r="Z303" s="19"/>
      <c r="AB303" s="20"/>
      <c r="AC303" s="15"/>
      <c r="AD303" s="15"/>
    </row>
    <row r="304">
      <c r="F304" s="15"/>
      <c r="G304" s="15"/>
      <c r="H304" s="15"/>
      <c r="K304" s="16"/>
      <c r="R304" s="17"/>
      <c r="S304" s="17"/>
      <c r="T304" s="17"/>
      <c r="U304" s="17"/>
      <c r="V304" s="18"/>
      <c r="W304" s="18"/>
      <c r="X304" s="17"/>
      <c r="Y304" s="18"/>
      <c r="Z304" s="19"/>
      <c r="AB304" s="20"/>
      <c r="AC304" s="15"/>
      <c r="AD304" s="15"/>
    </row>
    <row r="305">
      <c r="F305" s="15"/>
      <c r="G305" s="15"/>
      <c r="H305" s="15"/>
      <c r="K305" s="16"/>
      <c r="R305" s="17"/>
      <c r="S305" s="17"/>
      <c r="T305" s="17"/>
      <c r="U305" s="17"/>
      <c r="V305" s="18"/>
      <c r="W305" s="18"/>
      <c r="X305" s="17"/>
      <c r="Y305" s="18"/>
      <c r="Z305" s="19"/>
      <c r="AB305" s="20"/>
      <c r="AC305" s="15"/>
      <c r="AD305" s="15"/>
    </row>
    <row r="306">
      <c r="F306" s="15"/>
      <c r="G306" s="15"/>
      <c r="H306" s="15"/>
      <c r="K306" s="16"/>
      <c r="R306" s="17"/>
      <c r="S306" s="17"/>
      <c r="T306" s="17"/>
      <c r="U306" s="17"/>
      <c r="V306" s="18"/>
      <c r="W306" s="18"/>
      <c r="X306" s="17"/>
      <c r="Y306" s="18"/>
      <c r="Z306" s="19"/>
      <c r="AB306" s="20"/>
      <c r="AC306" s="15"/>
      <c r="AD306" s="15"/>
    </row>
    <row r="307">
      <c r="F307" s="15"/>
      <c r="G307" s="15"/>
      <c r="H307" s="15"/>
      <c r="K307" s="16"/>
      <c r="R307" s="17"/>
      <c r="S307" s="17"/>
      <c r="T307" s="17"/>
      <c r="U307" s="17"/>
      <c r="V307" s="18"/>
      <c r="W307" s="18"/>
      <c r="X307" s="17"/>
      <c r="Y307" s="18"/>
      <c r="Z307" s="19"/>
      <c r="AB307" s="20"/>
      <c r="AC307" s="15"/>
      <c r="AD307" s="15"/>
    </row>
    <row r="308">
      <c r="F308" s="15"/>
      <c r="G308" s="15"/>
      <c r="H308" s="15"/>
      <c r="K308" s="16"/>
      <c r="R308" s="17"/>
      <c r="S308" s="17"/>
      <c r="T308" s="17"/>
      <c r="U308" s="17"/>
      <c r="V308" s="18"/>
      <c r="W308" s="18"/>
      <c r="X308" s="17"/>
      <c r="Y308" s="18"/>
      <c r="Z308" s="19"/>
      <c r="AB308" s="20"/>
      <c r="AC308" s="15"/>
      <c r="AD308" s="15"/>
    </row>
    <row r="309">
      <c r="F309" s="15"/>
      <c r="G309" s="15"/>
      <c r="H309" s="15"/>
      <c r="K309" s="16"/>
      <c r="R309" s="17"/>
      <c r="S309" s="17"/>
      <c r="T309" s="17"/>
      <c r="U309" s="17"/>
      <c r="V309" s="18"/>
      <c r="W309" s="18"/>
      <c r="X309" s="17"/>
      <c r="Y309" s="18"/>
      <c r="Z309" s="19"/>
      <c r="AB309" s="20"/>
      <c r="AC309" s="15"/>
      <c r="AD309" s="15"/>
    </row>
    <row r="310">
      <c r="F310" s="15"/>
      <c r="G310" s="15"/>
      <c r="H310" s="15"/>
      <c r="K310" s="16"/>
      <c r="R310" s="17"/>
      <c r="S310" s="17"/>
      <c r="T310" s="17"/>
      <c r="U310" s="17"/>
      <c r="V310" s="18"/>
      <c r="W310" s="18"/>
      <c r="X310" s="17"/>
      <c r="Y310" s="18"/>
      <c r="Z310" s="19"/>
      <c r="AB310" s="20"/>
      <c r="AC310" s="15"/>
      <c r="AD310" s="15"/>
    </row>
    <row r="311">
      <c r="F311" s="15"/>
      <c r="G311" s="15"/>
      <c r="H311" s="15"/>
      <c r="K311" s="16"/>
      <c r="R311" s="17"/>
      <c r="S311" s="17"/>
      <c r="T311" s="17"/>
      <c r="U311" s="17"/>
      <c r="V311" s="18"/>
      <c r="W311" s="18"/>
      <c r="X311" s="17"/>
      <c r="Y311" s="18"/>
      <c r="Z311" s="19"/>
      <c r="AB311" s="20"/>
      <c r="AC311" s="15"/>
      <c r="AD311" s="15"/>
    </row>
    <row r="312">
      <c r="F312" s="15"/>
      <c r="G312" s="15"/>
      <c r="H312" s="15"/>
      <c r="K312" s="16"/>
      <c r="R312" s="17"/>
      <c r="S312" s="17"/>
      <c r="T312" s="17"/>
      <c r="U312" s="17"/>
      <c r="V312" s="18"/>
      <c r="W312" s="18"/>
      <c r="X312" s="17"/>
      <c r="Y312" s="18"/>
      <c r="Z312" s="19"/>
      <c r="AB312" s="20"/>
      <c r="AC312" s="15"/>
      <c r="AD312" s="15"/>
    </row>
    <row r="313">
      <c r="F313" s="15"/>
      <c r="G313" s="15"/>
      <c r="H313" s="15"/>
      <c r="K313" s="16"/>
      <c r="R313" s="17"/>
      <c r="S313" s="17"/>
      <c r="T313" s="17"/>
      <c r="U313" s="17"/>
      <c r="V313" s="18"/>
      <c r="W313" s="18"/>
      <c r="X313" s="17"/>
      <c r="Y313" s="18"/>
      <c r="Z313" s="19"/>
      <c r="AB313" s="20"/>
      <c r="AC313" s="15"/>
      <c r="AD313" s="15"/>
    </row>
    <row r="314">
      <c r="F314" s="15"/>
      <c r="G314" s="15"/>
      <c r="H314" s="15"/>
      <c r="K314" s="16"/>
      <c r="R314" s="17"/>
      <c r="S314" s="17"/>
      <c r="T314" s="17"/>
      <c r="U314" s="17"/>
      <c r="V314" s="18"/>
      <c r="W314" s="18"/>
      <c r="X314" s="17"/>
      <c r="Y314" s="18"/>
      <c r="Z314" s="19"/>
      <c r="AB314" s="20"/>
      <c r="AC314" s="15"/>
      <c r="AD314" s="15"/>
    </row>
    <row r="315">
      <c r="F315" s="15"/>
      <c r="G315" s="15"/>
      <c r="H315" s="15"/>
      <c r="K315" s="16"/>
      <c r="R315" s="17"/>
      <c r="S315" s="17"/>
      <c r="T315" s="17"/>
      <c r="U315" s="17"/>
      <c r="V315" s="18"/>
      <c r="W315" s="18"/>
      <c r="X315" s="17"/>
      <c r="Y315" s="18"/>
      <c r="Z315" s="19"/>
      <c r="AB315" s="20"/>
      <c r="AC315" s="15"/>
      <c r="AD315" s="15"/>
    </row>
    <row r="316">
      <c r="F316" s="15"/>
      <c r="G316" s="15"/>
      <c r="H316" s="15"/>
      <c r="K316" s="16"/>
      <c r="R316" s="17"/>
      <c r="S316" s="17"/>
      <c r="T316" s="17"/>
      <c r="U316" s="17"/>
      <c r="V316" s="18"/>
      <c r="W316" s="18"/>
      <c r="X316" s="17"/>
      <c r="Y316" s="18"/>
      <c r="Z316" s="19"/>
      <c r="AB316" s="20"/>
      <c r="AC316" s="15"/>
      <c r="AD316" s="15"/>
    </row>
    <row r="317">
      <c r="F317" s="15"/>
      <c r="G317" s="15"/>
      <c r="H317" s="15"/>
      <c r="K317" s="16"/>
      <c r="R317" s="17"/>
      <c r="S317" s="17"/>
      <c r="T317" s="17"/>
      <c r="U317" s="17"/>
      <c r="V317" s="18"/>
      <c r="W317" s="18"/>
      <c r="X317" s="17"/>
      <c r="Y317" s="18"/>
      <c r="Z317" s="19"/>
      <c r="AB317" s="20"/>
      <c r="AC317" s="15"/>
      <c r="AD317" s="15"/>
    </row>
    <row r="318">
      <c r="F318" s="15"/>
      <c r="G318" s="15"/>
      <c r="H318" s="15"/>
      <c r="K318" s="16"/>
      <c r="R318" s="17"/>
      <c r="S318" s="17"/>
      <c r="T318" s="17"/>
      <c r="U318" s="17"/>
      <c r="V318" s="18"/>
      <c r="W318" s="18"/>
      <c r="X318" s="17"/>
      <c r="Y318" s="18"/>
      <c r="Z318" s="19"/>
      <c r="AB318" s="20"/>
      <c r="AC318" s="15"/>
      <c r="AD318" s="15"/>
    </row>
    <row r="319">
      <c r="F319" s="15"/>
      <c r="G319" s="15"/>
      <c r="H319" s="15"/>
      <c r="K319" s="16"/>
      <c r="R319" s="17"/>
      <c r="S319" s="17"/>
      <c r="T319" s="17"/>
      <c r="U319" s="17"/>
      <c r="V319" s="18"/>
      <c r="W319" s="18"/>
      <c r="X319" s="17"/>
      <c r="Y319" s="18"/>
      <c r="Z319" s="19"/>
      <c r="AB319" s="20"/>
      <c r="AC319" s="15"/>
      <c r="AD319" s="15"/>
    </row>
    <row r="320">
      <c r="F320" s="15"/>
      <c r="G320" s="15"/>
      <c r="H320" s="15"/>
      <c r="K320" s="16"/>
      <c r="R320" s="17"/>
      <c r="S320" s="17"/>
      <c r="T320" s="17"/>
      <c r="U320" s="17"/>
      <c r="V320" s="18"/>
      <c r="W320" s="18"/>
      <c r="X320" s="17"/>
      <c r="Y320" s="18"/>
      <c r="Z320" s="19"/>
      <c r="AB320" s="20"/>
      <c r="AC320" s="15"/>
      <c r="AD320" s="15"/>
    </row>
    <row r="321">
      <c r="F321" s="15"/>
      <c r="G321" s="15"/>
      <c r="H321" s="15"/>
      <c r="K321" s="16"/>
      <c r="R321" s="17"/>
      <c r="S321" s="17"/>
      <c r="T321" s="17"/>
      <c r="U321" s="17"/>
      <c r="V321" s="18"/>
      <c r="W321" s="18"/>
      <c r="X321" s="17"/>
      <c r="Y321" s="18"/>
      <c r="Z321" s="19"/>
      <c r="AB321" s="20"/>
      <c r="AC321" s="15"/>
      <c r="AD321" s="15"/>
    </row>
    <row r="322">
      <c r="F322" s="15"/>
      <c r="G322" s="15"/>
      <c r="H322" s="15"/>
      <c r="K322" s="16"/>
      <c r="R322" s="17"/>
      <c r="S322" s="17"/>
      <c r="T322" s="17"/>
      <c r="U322" s="17"/>
      <c r="V322" s="18"/>
      <c r="W322" s="18"/>
      <c r="X322" s="17"/>
      <c r="Y322" s="18"/>
      <c r="Z322" s="19"/>
      <c r="AB322" s="20"/>
      <c r="AC322" s="15"/>
      <c r="AD322" s="15"/>
    </row>
    <row r="323">
      <c r="F323" s="15"/>
      <c r="G323" s="15"/>
      <c r="H323" s="15"/>
      <c r="K323" s="16"/>
      <c r="R323" s="17"/>
      <c r="S323" s="17"/>
      <c r="T323" s="17"/>
      <c r="U323" s="17"/>
      <c r="V323" s="18"/>
      <c r="W323" s="18"/>
      <c r="X323" s="17"/>
      <c r="Y323" s="18"/>
      <c r="Z323" s="19"/>
      <c r="AB323" s="20"/>
      <c r="AC323" s="15"/>
      <c r="AD323" s="15"/>
    </row>
    <row r="324">
      <c r="F324" s="15"/>
      <c r="G324" s="15"/>
      <c r="H324" s="15"/>
      <c r="K324" s="16"/>
      <c r="R324" s="17"/>
      <c r="S324" s="17"/>
      <c r="T324" s="17"/>
      <c r="U324" s="17"/>
      <c r="V324" s="18"/>
      <c r="W324" s="18"/>
      <c r="X324" s="17"/>
      <c r="Y324" s="18"/>
      <c r="Z324" s="19"/>
      <c r="AB324" s="20"/>
      <c r="AC324" s="15"/>
      <c r="AD324" s="15"/>
    </row>
    <row r="325">
      <c r="F325" s="15"/>
      <c r="G325" s="15"/>
      <c r="H325" s="15"/>
      <c r="K325" s="16"/>
      <c r="R325" s="17"/>
      <c r="S325" s="17"/>
      <c r="T325" s="17"/>
      <c r="U325" s="17"/>
      <c r="V325" s="18"/>
      <c r="W325" s="18"/>
      <c r="X325" s="17"/>
      <c r="Y325" s="18"/>
      <c r="Z325" s="19"/>
      <c r="AB325" s="20"/>
      <c r="AC325" s="15"/>
      <c r="AD325" s="15"/>
    </row>
    <row r="326">
      <c r="F326" s="15"/>
      <c r="G326" s="15"/>
      <c r="H326" s="15"/>
      <c r="K326" s="16"/>
      <c r="R326" s="17"/>
      <c r="S326" s="17"/>
      <c r="T326" s="17"/>
      <c r="U326" s="17"/>
      <c r="V326" s="18"/>
      <c r="W326" s="18"/>
      <c r="X326" s="17"/>
      <c r="Y326" s="18"/>
      <c r="Z326" s="19"/>
      <c r="AB326" s="20"/>
      <c r="AC326" s="15"/>
      <c r="AD326" s="15"/>
    </row>
    <row r="327">
      <c r="F327" s="15"/>
      <c r="G327" s="15"/>
      <c r="H327" s="15"/>
      <c r="K327" s="16"/>
      <c r="R327" s="17"/>
      <c r="S327" s="17"/>
      <c r="T327" s="17"/>
      <c r="U327" s="17"/>
      <c r="V327" s="18"/>
      <c r="W327" s="18"/>
      <c r="X327" s="17"/>
      <c r="Y327" s="18"/>
      <c r="Z327" s="19"/>
      <c r="AB327" s="20"/>
      <c r="AC327" s="15"/>
      <c r="AD327" s="15"/>
    </row>
    <row r="328">
      <c r="F328" s="15"/>
      <c r="G328" s="15"/>
      <c r="H328" s="15"/>
      <c r="K328" s="16"/>
      <c r="R328" s="17"/>
      <c r="S328" s="17"/>
      <c r="T328" s="17"/>
      <c r="U328" s="17"/>
      <c r="V328" s="18"/>
      <c r="W328" s="18"/>
      <c r="X328" s="17"/>
      <c r="Y328" s="18"/>
      <c r="Z328" s="19"/>
      <c r="AB328" s="20"/>
      <c r="AC328" s="15"/>
      <c r="AD328" s="15"/>
    </row>
    <row r="329">
      <c r="F329" s="15"/>
      <c r="G329" s="15"/>
      <c r="H329" s="15"/>
      <c r="K329" s="16"/>
      <c r="R329" s="17"/>
      <c r="S329" s="17"/>
      <c r="T329" s="17"/>
      <c r="U329" s="17"/>
      <c r="V329" s="18"/>
      <c r="W329" s="18"/>
      <c r="X329" s="17"/>
      <c r="Y329" s="18"/>
      <c r="Z329" s="19"/>
      <c r="AB329" s="20"/>
      <c r="AC329" s="15"/>
      <c r="AD329" s="15"/>
    </row>
    <row r="330">
      <c r="F330" s="15"/>
      <c r="G330" s="15"/>
      <c r="H330" s="15"/>
      <c r="K330" s="16"/>
      <c r="R330" s="17"/>
      <c r="S330" s="17"/>
      <c r="T330" s="17"/>
      <c r="U330" s="17"/>
      <c r="V330" s="18"/>
      <c r="W330" s="18"/>
      <c r="X330" s="17"/>
      <c r="Y330" s="18"/>
      <c r="Z330" s="19"/>
      <c r="AB330" s="20"/>
      <c r="AC330" s="15"/>
      <c r="AD330" s="15"/>
    </row>
    <row r="331">
      <c r="F331" s="15"/>
      <c r="G331" s="15"/>
      <c r="H331" s="15"/>
      <c r="K331" s="16"/>
      <c r="R331" s="17"/>
      <c r="S331" s="17"/>
      <c r="T331" s="17"/>
      <c r="U331" s="17"/>
      <c r="V331" s="18"/>
      <c r="W331" s="18"/>
      <c r="X331" s="17"/>
      <c r="Y331" s="18"/>
      <c r="Z331" s="19"/>
      <c r="AB331" s="20"/>
      <c r="AC331" s="15"/>
      <c r="AD331" s="15"/>
    </row>
    <row r="332">
      <c r="F332" s="15"/>
      <c r="G332" s="15"/>
      <c r="H332" s="15"/>
      <c r="K332" s="16"/>
      <c r="R332" s="17"/>
      <c r="S332" s="17"/>
      <c r="T332" s="17"/>
      <c r="U332" s="17"/>
      <c r="V332" s="18"/>
      <c r="W332" s="18"/>
      <c r="X332" s="17"/>
      <c r="Y332" s="18"/>
      <c r="Z332" s="19"/>
      <c r="AB332" s="20"/>
      <c r="AC332" s="15"/>
      <c r="AD332" s="15"/>
    </row>
    <row r="333">
      <c r="F333" s="15"/>
      <c r="G333" s="15"/>
      <c r="H333" s="15"/>
      <c r="K333" s="16"/>
      <c r="R333" s="17"/>
      <c r="S333" s="17"/>
      <c r="T333" s="17"/>
      <c r="U333" s="17"/>
      <c r="V333" s="18"/>
      <c r="W333" s="18"/>
      <c r="X333" s="17"/>
      <c r="Y333" s="18"/>
      <c r="Z333" s="19"/>
      <c r="AB333" s="20"/>
      <c r="AC333" s="15"/>
      <c r="AD333" s="15"/>
    </row>
    <row r="334">
      <c r="F334" s="15"/>
      <c r="G334" s="15"/>
      <c r="H334" s="15"/>
      <c r="K334" s="16"/>
      <c r="R334" s="17"/>
      <c r="S334" s="17"/>
      <c r="T334" s="17"/>
      <c r="U334" s="17"/>
      <c r="V334" s="18"/>
      <c r="W334" s="18"/>
      <c r="X334" s="17"/>
      <c r="Y334" s="18"/>
      <c r="Z334" s="19"/>
      <c r="AB334" s="20"/>
      <c r="AC334" s="15"/>
      <c r="AD334" s="15"/>
    </row>
    <row r="335">
      <c r="F335" s="15"/>
      <c r="G335" s="15"/>
      <c r="H335" s="15"/>
      <c r="K335" s="16"/>
      <c r="R335" s="17"/>
      <c r="S335" s="17"/>
      <c r="T335" s="17"/>
      <c r="U335" s="17"/>
      <c r="V335" s="18"/>
      <c r="W335" s="18"/>
      <c r="X335" s="17"/>
      <c r="Y335" s="18"/>
      <c r="Z335" s="19"/>
      <c r="AB335" s="20"/>
      <c r="AC335" s="15"/>
      <c r="AD335" s="15"/>
    </row>
    <row r="336">
      <c r="F336" s="15"/>
      <c r="G336" s="15"/>
      <c r="H336" s="15"/>
      <c r="K336" s="16"/>
      <c r="R336" s="17"/>
      <c r="S336" s="17"/>
      <c r="T336" s="17"/>
      <c r="U336" s="17"/>
      <c r="V336" s="18"/>
      <c r="W336" s="18"/>
      <c r="X336" s="17"/>
      <c r="Y336" s="18"/>
      <c r="Z336" s="19"/>
      <c r="AB336" s="20"/>
      <c r="AC336" s="15"/>
      <c r="AD336" s="15"/>
    </row>
    <row r="337">
      <c r="F337" s="15"/>
      <c r="G337" s="15"/>
      <c r="H337" s="15"/>
      <c r="K337" s="16"/>
      <c r="R337" s="17"/>
      <c r="S337" s="17"/>
      <c r="T337" s="17"/>
      <c r="U337" s="17"/>
      <c r="V337" s="18"/>
      <c r="W337" s="18"/>
      <c r="X337" s="17"/>
      <c r="Y337" s="18"/>
      <c r="Z337" s="19"/>
      <c r="AB337" s="20"/>
      <c r="AC337" s="15"/>
      <c r="AD337" s="15"/>
    </row>
    <row r="338">
      <c r="F338" s="15"/>
      <c r="G338" s="15"/>
      <c r="H338" s="15"/>
      <c r="K338" s="16"/>
      <c r="R338" s="17"/>
      <c r="S338" s="17"/>
      <c r="T338" s="17"/>
      <c r="U338" s="17"/>
      <c r="V338" s="18"/>
      <c r="W338" s="18"/>
      <c r="X338" s="17"/>
      <c r="Y338" s="18"/>
      <c r="Z338" s="19"/>
      <c r="AB338" s="20"/>
      <c r="AC338" s="15"/>
      <c r="AD338" s="15"/>
    </row>
    <row r="339">
      <c r="F339" s="15"/>
      <c r="G339" s="15"/>
      <c r="H339" s="15"/>
      <c r="K339" s="16"/>
      <c r="R339" s="17"/>
      <c r="S339" s="17"/>
      <c r="T339" s="17"/>
      <c r="U339" s="17"/>
      <c r="V339" s="18"/>
      <c r="W339" s="18"/>
      <c r="X339" s="17"/>
      <c r="Y339" s="18"/>
      <c r="Z339" s="19"/>
      <c r="AB339" s="20"/>
      <c r="AC339" s="15"/>
      <c r="AD339" s="15"/>
    </row>
    <row r="340">
      <c r="F340" s="15"/>
      <c r="G340" s="15"/>
      <c r="H340" s="15"/>
      <c r="K340" s="16"/>
      <c r="R340" s="17"/>
      <c r="S340" s="17"/>
      <c r="T340" s="17"/>
      <c r="U340" s="17"/>
      <c r="V340" s="18"/>
      <c r="W340" s="18"/>
      <c r="X340" s="17"/>
      <c r="Y340" s="18"/>
      <c r="Z340" s="19"/>
      <c r="AB340" s="20"/>
      <c r="AC340" s="15"/>
      <c r="AD340" s="15"/>
    </row>
    <row r="341">
      <c r="F341" s="15"/>
      <c r="G341" s="15"/>
      <c r="H341" s="15"/>
      <c r="K341" s="16"/>
      <c r="R341" s="17"/>
      <c r="S341" s="17"/>
      <c r="T341" s="17"/>
      <c r="U341" s="17"/>
      <c r="V341" s="18"/>
      <c r="W341" s="18"/>
      <c r="X341" s="17"/>
      <c r="Y341" s="18"/>
      <c r="Z341" s="19"/>
      <c r="AB341" s="20"/>
      <c r="AC341" s="15"/>
      <c r="AD341" s="15"/>
    </row>
    <row r="342">
      <c r="F342" s="15"/>
      <c r="G342" s="15"/>
      <c r="H342" s="15"/>
      <c r="K342" s="16"/>
      <c r="R342" s="17"/>
      <c r="S342" s="17"/>
      <c r="T342" s="17"/>
      <c r="U342" s="17"/>
      <c r="V342" s="18"/>
      <c r="W342" s="18"/>
      <c r="X342" s="17"/>
      <c r="Y342" s="18"/>
      <c r="Z342" s="19"/>
      <c r="AB342" s="20"/>
      <c r="AC342" s="15"/>
      <c r="AD342" s="15"/>
    </row>
    <row r="343">
      <c r="F343" s="15"/>
      <c r="G343" s="15"/>
      <c r="H343" s="15"/>
      <c r="K343" s="16"/>
      <c r="R343" s="17"/>
      <c r="S343" s="17"/>
      <c r="T343" s="17"/>
      <c r="U343" s="17"/>
      <c r="V343" s="18"/>
      <c r="W343" s="18"/>
      <c r="X343" s="17"/>
      <c r="Y343" s="18"/>
      <c r="Z343" s="19"/>
      <c r="AB343" s="20"/>
      <c r="AC343" s="15"/>
      <c r="AD343" s="15"/>
    </row>
    <row r="344">
      <c r="F344" s="15"/>
      <c r="G344" s="15"/>
      <c r="H344" s="15"/>
      <c r="K344" s="16"/>
      <c r="R344" s="17"/>
      <c r="S344" s="17"/>
      <c r="T344" s="17"/>
      <c r="U344" s="17"/>
      <c r="V344" s="18"/>
      <c r="W344" s="18"/>
      <c r="X344" s="17"/>
      <c r="Y344" s="18"/>
      <c r="Z344" s="19"/>
      <c r="AB344" s="20"/>
      <c r="AC344" s="15"/>
      <c r="AD344" s="15"/>
    </row>
    <row r="345">
      <c r="F345" s="15"/>
      <c r="G345" s="15"/>
      <c r="H345" s="15"/>
      <c r="K345" s="16"/>
      <c r="R345" s="17"/>
      <c r="S345" s="17"/>
      <c r="T345" s="17"/>
      <c r="U345" s="17"/>
      <c r="V345" s="18"/>
      <c r="W345" s="18"/>
      <c r="X345" s="17"/>
      <c r="Y345" s="18"/>
      <c r="Z345" s="19"/>
      <c r="AB345" s="20"/>
      <c r="AC345" s="15"/>
      <c r="AD345" s="15"/>
    </row>
    <row r="346">
      <c r="F346" s="15"/>
      <c r="G346" s="15"/>
      <c r="H346" s="15"/>
      <c r="K346" s="16"/>
      <c r="R346" s="17"/>
      <c r="S346" s="17"/>
      <c r="T346" s="17"/>
      <c r="U346" s="17"/>
      <c r="V346" s="18"/>
      <c r="W346" s="18"/>
      <c r="X346" s="17"/>
      <c r="Y346" s="18"/>
      <c r="Z346" s="19"/>
      <c r="AB346" s="20"/>
      <c r="AC346" s="15"/>
      <c r="AD346" s="15"/>
    </row>
    <row r="347">
      <c r="F347" s="15"/>
      <c r="G347" s="15"/>
      <c r="H347" s="15"/>
      <c r="K347" s="16"/>
      <c r="R347" s="17"/>
      <c r="S347" s="17"/>
      <c r="T347" s="17"/>
      <c r="U347" s="17"/>
      <c r="V347" s="18"/>
      <c r="W347" s="18"/>
      <c r="X347" s="17"/>
      <c r="Y347" s="18"/>
      <c r="Z347" s="19"/>
      <c r="AB347" s="20"/>
      <c r="AC347" s="15"/>
      <c r="AD347" s="15"/>
    </row>
    <row r="348">
      <c r="F348" s="15"/>
      <c r="G348" s="15"/>
      <c r="H348" s="15"/>
      <c r="K348" s="16"/>
      <c r="R348" s="17"/>
      <c r="S348" s="17"/>
      <c r="T348" s="17"/>
      <c r="U348" s="17"/>
      <c r="V348" s="18"/>
      <c r="W348" s="18"/>
      <c r="X348" s="17"/>
      <c r="Y348" s="18"/>
      <c r="Z348" s="19"/>
      <c r="AB348" s="20"/>
      <c r="AC348" s="15"/>
      <c r="AD348" s="15"/>
    </row>
    <row r="349">
      <c r="F349" s="15"/>
      <c r="G349" s="15"/>
      <c r="H349" s="15"/>
      <c r="K349" s="16"/>
      <c r="R349" s="17"/>
      <c r="S349" s="17"/>
      <c r="T349" s="17"/>
      <c r="U349" s="17"/>
      <c r="V349" s="18"/>
      <c r="W349" s="18"/>
      <c r="X349" s="17"/>
      <c r="Y349" s="18"/>
      <c r="Z349" s="19"/>
      <c r="AB349" s="20"/>
      <c r="AC349" s="15"/>
      <c r="AD349" s="15"/>
    </row>
    <row r="350">
      <c r="F350" s="15"/>
      <c r="G350" s="15"/>
      <c r="H350" s="15"/>
      <c r="K350" s="16"/>
      <c r="R350" s="17"/>
      <c r="S350" s="17"/>
      <c r="T350" s="17"/>
      <c r="U350" s="17"/>
      <c r="V350" s="18"/>
      <c r="W350" s="18"/>
      <c r="X350" s="17"/>
      <c r="Y350" s="18"/>
      <c r="Z350" s="19"/>
      <c r="AB350" s="20"/>
      <c r="AC350" s="15"/>
      <c r="AD350" s="15"/>
    </row>
    <row r="351">
      <c r="F351" s="15"/>
      <c r="G351" s="15"/>
      <c r="H351" s="15"/>
      <c r="K351" s="16"/>
      <c r="R351" s="17"/>
      <c r="S351" s="17"/>
      <c r="T351" s="17"/>
      <c r="U351" s="17"/>
      <c r="V351" s="18"/>
      <c r="W351" s="18"/>
      <c r="X351" s="17"/>
      <c r="Y351" s="18"/>
      <c r="Z351" s="19"/>
      <c r="AB351" s="20"/>
      <c r="AC351" s="15"/>
      <c r="AD351" s="15"/>
    </row>
    <row r="352">
      <c r="F352" s="15"/>
      <c r="G352" s="15"/>
      <c r="H352" s="15"/>
      <c r="K352" s="16"/>
      <c r="R352" s="17"/>
      <c r="S352" s="17"/>
      <c r="T352" s="17"/>
      <c r="U352" s="17"/>
      <c r="V352" s="18"/>
      <c r="W352" s="18"/>
      <c r="X352" s="17"/>
      <c r="Y352" s="18"/>
      <c r="Z352" s="19"/>
      <c r="AB352" s="20"/>
      <c r="AC352" s="15"/>
      <c r="AD352" s="15"/>
    </row>
    <row r="353">
      <c r="F353" s="15"/>
      <c r="G353" s="15"/>
      <c r="H353" s="15"/>
      <c r="K353" s="16"/>
      <c r="R353" s="17"/>
      <c r="S353" s="17"/>
      <c r="T353" s="17"/>
      <c r="U353" s="17"/>
      <c r="V353" s="18"/>
      <c r="W353" s="18"/>
      <c r="X353" s="17"/>
      <c r="Y353" s="18"/>
      <c r="Z353" s="19"/>
      <c r="AB353" s="20"/>
      <c r="AC353" s="15"/>
      <c r="AD353" s="15"/>
    </row>
    <row r="354">
      <c r="F354" s="15"/>
      <c r="G354" s="15"/>
      <c r="H354" s="15"/>
      <c r="K354" s="16"/>
      <c r="R354" s="17"/>
      <c r="S354" s="17"/>
      <c r="T354" s="17"/>
      <c r="U354" s="17"/>
      <c r="V354" s="18"/>
      <c r="W354" s="18"/>
      <c r="X354" s="17"/>
      <c r="Y354" s="18"/>
      <c r="Z354" s="19"/>
      <c r="AB354" s="20"/>
      <c r="AC354" s="15"/>
      <c r="AD354" s="15"/>
    </row>
    <row r="355">
      <c r="F355" s="15"/>
      <c r="G355" s="15"/>
      <c r="H355" s="15"/>
      <c r="K355" s="16"/>
      <c r="R355" s="17"/>
      <c r="S355" s="17"/>
      <c r="T355" s="17"/>
      <c r="U355" s="17"/>
      <c r="V355" s="18"/>
      <c r="W355" s="18"/>
      <c r="X355" s="17"/>
      <c r="Y355" s="18"/>
      <c r="Z355" s="19"/>
      <c r="AB355" s="20"/>
      <c r="AC355" s="15"/>
      <c r="AD355" s="15"/>
    </row>
    <row r="356">
      <c r="F356" s="15"/>
      <c r="G356" s="15"/>
      <c r="H356" s="15"/>
      <c r="K356" s="16"/>
      <c r="R356" s="17"/>
      <c r="S356" s="17"/>
      <c r="T356" s="17"/>
      <c r="U356" s="17"/>
      <c r="V356" s="18"/>
      <c r="W356" s="18"/>
      <c r="X356" s="17"/>
      <c r="Y356" s="18"/>
      <c r="Z356" s="19"/>
      <c r="AB356" s="20"/>
      <c r="AC356" s="15"/>
      <c r="AD356" s="15"/>
    </row>
    <row r="357">
      <c r="F357" s="15"/>
      <c r="G357" s="15"/>
      <c r="H357" s="15"/>
      <c r="K357" s="16"/>
      <c r="R357" s="17"/>
      <c r="S357" s="17"/>
      <c r="T357" s="17"/>
      <c r="U357" s="17"/>
      <c r="V357" s="18"/>
      <c r="W357" s="18"/>
      <c r="X357" s="17"/>
      <c r="Y357" s="18"/>
      <c r="Z357" s="19"/>
      <c r="AB357" s="20"/>
      <c r="AC357" s="15"/>
      <c r="AD357" s="15"/>
    </row>
    <row r="358">
      <c r="F358" s="15"/>
      <c r="G358" s="15"/>
      <c r="H358" s="15"/>
      <c r="K358" s="16"/>
      <c r="R358" s="17"/>
      <c r="S358" s="17"/>
      <c r="T358" s="17"/>
      <c r="U358" s="17"/>
      <c r="V358" s="18"/>
      <c r="W358" s="18"/>
      <c r="X358" s="17"/>
      <c r="Y358" s="18"/>
      <c r="Z358" s="19"/>
      <c r="AB358" s="20"/>
      <c r="AC358" s="15"/>
      <c r="AD358" s="15"/>
    </row>
    <row r="359">
      <c r="F359" s="15"/>
      <c r="G359" s="15"/>
      <c r="H359" s="15"/>
      <c r="K359" s="16"/>
      <c r="R359" s="17"/>
      <c r="S359" s="17"/>
      <c r="T359" s="17"/>
      <c r="U359" s="17"/>
      <c r="V359" s="18"/>
      <c r="W359" s="18"/>
      <c r="X359" s="17"/>
      <c r="Y359" s="18"/>
      <c r="Z359" s="19"/>
      <c r="AB359" s="20"/>
      <c r="AC359" s="15"/>
      <c r="AD359" s="15"/>
    </row>
    <row r="360">
      <c r="F360" s="15"/>
      <c r="G360" s="15"/>
      <c r="H360" s="15"/>
      <c r="K360" s="16"/>
      <c r="R360" s="17"/>
      <c r="S360" s="17"/>
      <c r="T360" s="17"/>
      <c r="U360" s="17"/>
      <c r="V360" s="18"/>
      <c r="W360" s="18"/>
      <c r="X360" s="17"/>
      <c r="Y360" s="18"/>
      <c r="Z360" s="19"/>
      <c r="AB360" s="20"/>
      <c r="AC360" s="15"/>
      <c r="AD360" s="15"/>
    </row>
    <row r="361">
      <c r="F361" s="15"/>
      <c r="G361" s="15"/>
      <c r="H361" s="15"/>
      <c r="K361" s="16"/>
      <c r="R361" s="17"/>
      <c r="S361" s="17"/>
      <c r="T361" s="17"/>
      <c r="U361" s="17"/>
      <c r="V361" s="18"/>
      <c r="W361" s="18"/>
      <c r="X361" s="17"/>
      <c r="Y361" s="18"/>
      <c r="Z361" s="19"/>
      <c r="AB361" s="20"/>
      <c r="AC361" s="15"/>
      <c r="AD361" s="15"/>
    </row>
    <row r="362">
      <c r="F362" s="15"/>
      <c r="G362" s="15"/>
      <c r="H362" s="15"/>
      <c r="K362" s="16"/>
      <c r="R362" s="17"/>
      <c r="S362" s="17"/>
      <c r="T362" s="17"/>
      <c r="U362" s="17"/>
      <c r="V362" s="18"/>
      <c r="W362" s="18"/>
      <c r="X362" s="17"/>
      <c r="Y362" s="18"/>
      <c r="Z362" s="19"/>
      <c r="AB362" s="20"/>
      <c r="AC362" s="15"/>
      <c r="AD362" s="15"/>
    </row>
    <row r="363">
      <c r="F363" s="15"/>
      <c r="G363" s="15"/>
      <c r="H363" s="15"/>
      <c r="K363" s="16"/>
      <c r="R363" s="17"/>
      <c r="S363" s="17"/>
      <c r="T363" s="17"/>
      <c r="U363" s="17"/>
      <c r="V363" s="18"/>
      <c r="W363" s="18"/>
      <c r="X363" s="17"/>
      <c r="Y363" s="18"/>
      <c r="Z363" s="19"/>
      <c r="AB363" s="20"/>
      <c r="AC363" s="15"/>
      <c r="AD363" s="15"/>
    </row>
    <row r="364">
      <c r="F364" s="15"/>
      <c r="G364" s="15"/>
      <c r="H364" s="15"/>
      <c r="K364" s="16"/>
      <c r="R364" s="17"/>
      <c r="S364" s="17"/>
      <c r="T364" s="17"/>
      <c r="U364" s="17"/>
      <c r="V364" s="18"/>
      <c r="W364" s="18"/>
      <c r="X364" s="17"/>
      <c r="Y364" s="18"/>
      <c r="Z364" s="19"/>
      <c r="AB364" s="20"/>
      <c r="AC364" s="15"/>
      <c r="AD364" s="15"/>
    </row>
    <row r="365">
      <c r="F365" s="15"/>
      <c r="G365" s="15"/>
      <c r="H365" s="15"/>
      <c r="K365" s="16"/>
      <c r="R365" s="17"/>
      <c r="S365" s="17"/>
      <c r="T365" s="17"/>
      <c r="U365" s="17"/>
      <c r="V365" s="18"/>
      <c r="W365" s="18"/>
      <c r="X365" s="17"/>
      <c r="Y365" s="18"/>
      <c r="Z365" s="19"/>
      <c r="AB365" s="20"/>
      <c r="AC365" s="15"/>
      <c r="AD365" s="15"/>
    </row>
    <row r="366">
      <c r="F366" s="15"/>
      <c r="G366" s="15"/>
      <c r="H366" s="15"/>
      <c r="K366" s="16"/>
      <c r="R366" s="17"/>
      <c r="S366" s="17"/>
      <c r="T366" s="17"/>
      <c r="U366" s="17"/>
      <c r="V366" s="18"/>
      <c r="W366" s="18"/>
      <c r="X366" s="17"/>
      <c r="Y366" s="18"/>
      <c r="Z366" s="19"/>
      <c r="AB366" s="20"/>
      <c r="AC366" s="15"/>
      <c r="AD366" s="15"/>
    </row>
    <row r="367">
      <c r="F367" s="15"/>
      <c r="G367" s="15"/>
      <c r="H367" s="15"/>
      <c r="K367" s="16"/>
      <c r="R367" s="17"/>
      <c r="S367" s="17"/>
      <c r="T367" s="17"/>
      <c r="U367" s="17"/>
      <c r="V367" s="18"/>
      <c r="W367" s="18"/>
      <c r="X367" s="17"/>
      <c r="Y367" s="18"/>
      <c r="Z367" s="19"/>
      <c r="AB367" s="20"/>
      <c r="AC367" s="15"/>
      <c r="AD367" s="15"/>
    </row>
    <row r="368">
      <c r="F368" s="15"/>
      <c r="G368" s="15"/>
      <c r="H368" s="15"/>
      <c r="K368" s="16"/>
      <c r="R368" s="17"/>
      <c r="S368" s="17"/>
      <c r="T368" s="17"/>
      <c r="U368" s="17"/>
      <c r="V368" s="18"/>
      <c r="W368" s="18"/>
      <c r="X368" s="17"/>
      <c r="Y368" s="18"/>
      <c r="Z368" s="19"/>
      <c r="AB368" s="20"/>
      <c r="AC368" s="15"/>
      <c r="AD368" s="15"/>
    </row>
    <row r="369">
      <c r="F369" s="15"/>
      <c r="G369" s="15"/>
      <c r="H369" s="15"/>
      <c r="K369" s="16"/>
      <c r="R369" s="17"/>
      <c r="S369" s="17"/>
      <c r="T369" s="17"/>
      <c r="U369" s="17"/>
      <c r="V369" s="18"/>
      <c r="W369" s="18"/>
      <c r="X369" s="17"/>
      <c r="Y369" s="18"/>
      <c r="Z369" s="19"/>
      <c r="AB369" s="20"/>
      <c r="AC369" s="15"/>
      <c r="AD369" s="15"/>
    </row>
    <row r="370">
      <c r="F370" s="15"/>
      <c r="G370" s="15"/>
      <c r="H370" s="15"/>
      <c r="K370" s="16"/>
      <c r="R370" s="17"/>
      <c r="S370" s="17"/>
      <c r="T370" s="17"/>
      <c r="U370" s="17"/>
      <c r="V370" s="18"/>
      <c r="W370" s="18"/>
      <c r="X370" s="17"/>
      <c r="Y370" s="18"/>
      <c r="Z370" s="19"/>
      <c r="AB370" s="20"/>
      <c r="AC370" s="15"/>
      <c r="AD370" s="15"/>
    </row>
    <row r="371">
      <c r="F371" s="15"/>
      <c r="G371" s="15"/>
      <c r="H371" s="15"/>
      <c r="K371" s="16"/>
      <c r="R371" s="17"/>
      <c r="S371" s="17"/>
      <c r="T371" s="17"/>
      <c r="U371" s="17"/>
      <c r="V371" s="18"/>
      <c r="W371" s="18"/>
      <c r="X371" s="17"/>
      <c r="Y371" s="18"/>
      <c r="Z371" s="19"/>
      <c r="AB371" s="20"/>
      <c r="AC371" s="15"/>
      <c r="AD371" s="15"/>
    </row>
    <row r="372">
      <c r="F372" s="15"/>
      <c r="G372" s="15"/>
      <c r="H372" s="15"/>
      <c r="K372" s="16"/>
      <c r="R372" s="17"/>
      <c r="S372" s="17"/>
      <c r="T372" s="17"/>
      <c r="U372" s="17"/>
      <c r="V372" s="18"/>
      <c r="W372" s="18"/>
      <c r="X372" s="17"/>
      <c r="Y372" s="18"/>
      <c r="Z372" s="19"/>
      <c r="AB372" s="20"/>
      <c r="AC372" s="15"/>
      <c r="AD372" s="15"/>
    </row>
    <row r="373">
      <c r="F373" s="15"/>
      <c r="G373" s="15"/>
      <c r="H373" s="15"/>
      <c r="K373" s="16"/>
      <c r="R373" s="17"/>
      <c r="S373" s="17"/>
      <c r="T373" s="17"/>
      <c r="U373" s="17"/>
      <c r="V373" s="18"/>
      <c r="W373" s="18"/>
      <c r="X373" s="17"/>
      <c r="Y373" s="18"/>
      <c r="Z373" s="19"/>
      <c r="AB373" s="20"/>
      <c r="AC373" s="15"/>
      <c r="AD373" s="15"/>
    </row>
    <row r="374">
      <c r="F374" s="15"/>
      <c r="G374" s="15"/>
      <c r="H374" s="15"/>
      <c r="K374" s="16"/>
      <c r="R374" s="17"/>
      <c r="S374" s="17"/>
      <c r="T374" s="17"/>
      <c r="U374" s="17"/>
      <c r="V374" s="18"/>
      <c r="W374" s="18"/>
      <c r="X374" s="17"/>
      <c r="Y374" s="18"/>
      <c r="Z374" s="19"/>
      <c r="AB374" s="20"/>
      <c r="AC374" s="15"/>
      <c r="AD374" s="15"/>
    </row>
    <row r="375">
      <c r="F375" s="15"/>
      <c r="G375" s="15"/>
      <c r="H375" s="15"/>
      <c r="K375" s="16"/>
      <c r="R375" s="17"/>
      <c r="S375" s="17"/>
      <c r="T375" s="17"/>
      <c r="U375" s="17"/>
      <c r="V375" s="18"/>
      <c r="W375" s="18"/>
      <c r="X375" s="17"/>
      <c r="Y375" s="18"/>
      <c r="Z375" s="19"/>
      <c r="AB375" s="20"/>
      <c r="AC375" s="15"/>
      <c r="AD375" s="15"/>
    </row>
    <row r="376">
      <c r="F376" s="15"/>
      <c r="G376" s="15"/>
      <c r="H376" s="15"/>
      <c r="K376" s="16"/>
      <c r="R376" s="17"/>
      <c r="S376" s="17"/>
      <c r="T376" s="17"/>
      <c r="U376" s="17"/>
      <c r="V376" s="18"/>
      <c r="W376" s="18"/>
      <c r="X376" s="17"/>
      <c r="Y376" s="18"/>
      <c r="Z376" s="19"/>
      <c r="AB376" s="20"/>
      <c r="AC376" s="15"/>
      <c r="AD376" s="15"/>
    </row>
    <row r="377">
      <c r="F377" s="15"/>
      <c r="G377" s="15"/>
      <c r="H377" s="15"/>
      <c r="K377" s="16"/>
      <c r="R377" s="17"/>
      <c r="S377" s="17"/>
      <c r="T377" s="17"/>
      <c r="U377" s="17"/>
      <c r="V377" s="18"/>
      <c r="W377" s="18"/>
      <c r="X377" s="17"/>
      <c r="Y377" s="18"/>
      <c r="Z377" s="19"/>
      <c r="AB377" s="20"/>
      <c r="AC377" s="15"/>
      <c r="AD377" s="15"/>
    </row>
    <row r="378">
      <c r="F378" s="15"/>
      <c r="G378" s="15"/>
      <c r="H378" s="15"/>
      <c r="K378" s="16"/>
      <c r="R378" s="17"/>
      <c r="S378" s="17"/>
      <c r="T378" s="17"/>
      <c r="U378" s="17"/>
      <c r="V378" s="18"/>
      <c r="W378" s="18"/>
      <c r="X378" s="17"/>
      <c r="Y378" s="18"/>
      <c r="Z378" s="19"/>
      <c r="AB378" s="20"/>
      <c r="AC378" s="15"/>
      <c r="AD378" s="15"/>
    </row>
    <row r="379">
      <c r="F379" s="15"/>
      <c r="G379" s="15"/>
      <c r="H379" s="15"/>
      <c r="K379" s="16"/>
      <c r="R379" s="17"/>
      <c r="S379" s="17"/>
      <c r="T379" s="17"/>
      <c r="U379" s="17"/>
      <c r="V379" s="18"/>
      <c r="W379" s="18"/>
      <c r="X379" s="17"/>
      <c r="Y379" s="18"/>
      <c r="Z379" s="19"/>
      <c r="AB379" s="20"/>
      <c r="AC379" s="15"/>
      <c r="AD379" s="15"/>
    </row>
    <row r="380">
      <c r="F380" s="15"/>
      <c r="G380" s="15"/>
      <c r="H380" s="15"/>
      <c r="K380" s="16"/>
      <c r="R380" s="17"/>
      <c r="S380" s="17"/>
      <c r="T380" s="17"/>
      <c r="U380" s="17"/>
      <c r="V380" s="18"/>
      <c r="W380" s="18"/>
      <c r="X380" s="17"/>
      <c r="Y380" s="18"/>
      <c r="Z380" s="19"/>
      <c r="AB380" s="20"/>
      <c r="AC380" s="15"/>
      <c r="AD380" s="15"/>
    </row>
    <row r="381">
      <c r="F381" s="15"/>
      <c r="G381" s="15"/>
      <c r="H381" s="15"/>
      <c r="K381" s="16"/>
      <c r="R381" s="17"/>
      <c r="S381" s="17"/>
      <c r="T381" s="17"/>
      <c r="U381" s="17"/>
      <c r="V381" s="18"/>
      <c r="W381" s="18"/>
      <c r="X381" s="17"/>
      <c r="Y381" s="18"/>
      <c r="Z381" s="19"/>
      <c r="AB381" s="20"/>
      <c r="AC381" s="15"/>
      <c r="AD381" s="15"/>
    </row>
    <row r="382">
      <c r="F382" s="15"/>
      <c r="G382" s="15"/>
      <c r="H382" s="15"/>
      <c r="K382" s="16"/>
      <c r="R382" s="17"/>
      <c r="S382" s="17"/>
      <c r="T382" s="17"/>
      <c r="U382" s="17"/>
      <c r="V382" s="18"/>
      <c r="W382" s="18"/>
      <c r="X382" s="17"/>
      <c r="Y382" s="18"/>
      <c r="Z382" s="19"/>
      <c r="AB382" s="20"/>
      <c r="AC382" s="15"/>
      <c r="AD382" s="15"/>
    </row>
    <row r="383">
      <c r="F383" s="15"/>
      <c r="G383" s="15"/>
      <c r="H383" s="15"/>
      <c r="K383" s="16"/>
      <c r="R383" s="17"/>
      <c r="S383" s="17"/>
      <c r="T383" s="17"/>
      <c r="U383" s="17"/>
      <c r="V383" s="18"/>
      <c r="W383" s="18"/>
      <c r="X383" s="17"/>
      <c r="Y383" s="18"/>
      <c r="Z383" s="19"/>
      <c r="AB383" s="20"/>
      <c r="AC383" s="15"/>
      <c r="AD383" s="15"/>
    </row>
    <row r="384">
      <c r="F384" s="15"/>
      <c r="G384" s="15"/>
      <c r="H384" s="15"/>
      <c r="K384" s="16"/>
      <c r="R384" s="17"/>
      <c r="S384" s="17"/>
      <c r="T384" s="17"/>
      <c r="U384" s="17"/>
      <c r="V384" s="18"/>
      <c r="W384" s="18"/>
      <c r="X384" s="17"/>
      <c r="Y384" s="18"/>
      <c r="Z384" s="19"/>
      <c r="AB384" s="20"/>
      <c r="AC384" s="15"/>
      <c r="AD384" s="15"/>
    </row>
    <row r="385">
      <c r="F385" s="15"/>
      <c r="G385" s="15"/>
      <c r="H385" s="15"/>
      <c r="K385" s="16"/>
      <c r="R385" s="17"/>
      <c r="S385" s="17"/>
      <c r="T385" s="17"/>
      <c r="U385" s="17"/>
      <c r="V385" s="18"/>
      <c r="W385" s="18"/>
      <c r="X385" s="17"/>
      <c r="Y385" s="18"/>
      <c r="Z385" s="19"/>
      <c r="AB385" s="20"/>
      <c r="AC385" s="15"/>
      <c r="AD385" s="15"/>
    </row>
    <row r="386">
      <c r="F386" s="15"/>
      <c r="G386" s="15"/>
      <c r="H386" s="15"/>
      <c r="K386" s="16"/>
      <c r="R386" s="17"/>
      <c r="S386" s="17"/>
      <c r="T386" s="17"/>
      <c r="U386" s="17"/>
      <c r="V386" s="18"/>
      <c r="W386" s="18"/>
      <c r="X386" s="17"/>
      <c r="Y386" s="18"/>
      <c r="Z386" s="19"/>
      <c r="AB386" s="20"/>
      <c r="AC386" s="15"/>
      <c r="AD386" s="15"/>
    </row>
    <row r="387">
      <c r="F387" s="15"/>
      <c r="G387" s="15"/>
      <c r="H387" s="15"/>
      <c r="K387" s="16"/>
      <c r="R387" s="17"/>
      <c r="S387" s="17"/>
      <c r="T387" s="17"/>
      <c r="U387" s="17"/>
      <c r="V387" s="18"/>
      <c r="W387" s="18"/>
      <c r="X387" s="17"/>
      <c r="Y387" s="18"/>
      <c r="Z387" s="19"/>
      <c r="AB387" s="20"/>
      <c r="AC387" s="15"/>
      <c r="AD387" s="15"/>
    </row>
    <row r="388">
      <c r="F388" s="15"/>
      <c r="G388" s="15"/>
      <c r="H388" s="15"/>
      <c r="K388" s="16"/>
      <c r="R388" s="17"/>
      <c r="S388" s="17"/>
      <c r="T388" s="17"/>
      <c r="U388" s="17"/>
      <c r="V388" s="18"/>
      <c r="W388" s="18"/>
      <c r="X388" s="17"/>
      <c r="Y388" s="18"/>
      <c r="Z388" s="19"/>
      <c r="AB388" s="20"/>
      <c r="AC388" s="15"/>
      <c r="AD388" s="15"/>
    </row>
    <row r="389">
      <c r="F389" s="15"/>
      <c r="G389" s="15"/>
      <c r="H389" s="15"/>
      <c r="K389" s="16"/>
      <c r="R389" s="17"/>
      <c r="S389" s="17"/>
      <c r="T389" s="17"/>
      <c r="U389" s="17"/>
      <c r="V389" s="18"/>
      <c r="W389" s="18"/>
      <c r="X389" s="17"/>
      <c r="Y389" s="18"/>
      <c r="Z389" s="19"/>
      <c r="AB389" s="20"/>
      <c r="AC389" s="15"/>
      <c r="AD389" s="15"/>
    </row>
    <row r="390">
      <c r="F390" s="15"/>
      <c r="G390" s="15"/>
      <c r="H390" s="15"/>
      <c r="K390" s="16"/>
      <c r="R390" s="17"/>
      <c r="S390" s="17"/>
      <c r="T390" s="17"/>
      <c r="U390" s="17"/>
      <c r="V390" s="18"/>
      <c r="W390" s="18"/>
      <c r="X390" s="17"/>
      <c r="Y390" s="18"/>
      <c r="Z390" s="19"/>
      <c r="AB390" s="20"/>
      <c r="AC390" s="15"/>
      <c r="AD390" s="15"/>
    </row>
    <row r="391">
      <c r="F391" s="15"/>
      <c r="G391" s="15"/>
      <c r="H391" s="15"/>
      <c r="K391" s="16"/>
      <c r="R391" s="17"/>
      <c r="S391" s="17"/>
      <c r="T391" s="17"/>
      <c r="U391" s="17"/>
      <c r="V391" s="18"/>
      <c r="W391" s="18"/>
      <c r="X391" s="17"/>
      <c r="Y391" s="18"/>
      <c r="Z391" s="19"/>
      <c r="AB391" s="20"/>
      <c r="AC391" s="15"/>
      <c r="AD391" s="15"/>
    </row>
    <row r="392">
      <c r="F392" s="15"/>
      <c r="G392" s="15"/>
      <c r="H392" s="15"/>
      <c r="K392" s="16"/>
      <c r="R392" s="17"/>
      <c r="S392" s="17"/>
      <c r="T392" s="17"/>
      <c r="U392" s="17"/>
      <c r="V392" s="18"/>
      <c r="W392" s="18"/>
      <c r="X392" s="17"/>
      <c r="Y392" s="18"/>
      <c r="Z392" s="19"/>
      <c r="AB392" s="20"/>
      <c r="AC392" s="15"/>
      <c r="AD392" s="15"/>
    </row>
    <row r="393">
      <c r="F393" s="15"/>
      <c r="G393" s="15"/>
      <c r="H393" s="15"/>
      <c r="K393" s="16"/>
      <c r="R393" s="17"/>
      <c r="S393" s="17"/>
      <c r="T393" s="17"/>
      <c r="U393" s="17"/>
      <c r="V393" s="18"/>
      <c r="W393" s="18"/>
      <c r="X393" s="17"/>
      <c r="Y393" s="18"/>
      <c r="Z393" s="19"/>
      <c r="AB393" s="20"/>
      <c r="AC393" s="15"/>
      <c r="AD393" s="15"/>
    </row>
    <row r="394">
      <c r="F394" s="15"/>
      <c r="G394" s="15"/>
      <c r="H394" s="15"/>
      <c r="K394" s="16"/>
      <c r="R394" s="17"/>
      <c r="S394" s="17"/>
      <c r="T394" s="17"/>
      <c r="U394" s="17"/>
      <c r="V394" s="18"/>
      <c r="W394" s="18"/>
      <c r="X394" s="17"/>
      <c r="Y394" s="18"/>
      <c r="Z394" s="19"/>
      <c r="AB394" s="20"/>
      <c r="AC394" s="15"/>
      <c r="AD394" s="15"/>
    </row>
    <row r="395">
      <c r="F395" s="15"/>
      <c r="G395" s="15"/>
      <c r="H395" s="15"/>
      <c r="K395" s="16"/>
      <c r="R395" s="17"/>
      <c r="S395" s="17"/>
      <c r="T395" s="17"/>
      <c r="U395" s="17"/>
      <c r="V395" s="18"/>
      <c r="W395" s="18"/>
      <c r="X395" s="17"/>
      <c r="Y395" s="18"/>
      <c r="Z395" s="19"/>
      <c r="AB395" s="20"/>
      <c r="AC395" s="15"/>
      <c r="AD395" s="15"/>
    </row>
    <row r="396">
      <c r="F396" s="15"/>
      <c r="G396" s="15"/>
      <c r="H396" s="15"/>
      <c r="K396" s="16"/>
      <c r="R396" s="17"/>
      <c r="S396" s="17"/>
      <c r="T396" s="17"/>
      <c r="U396" s="17"/>
      <c r="V396" s="18"/>
      <c r="W396" s="18"/>
      <c r="X396" s="17"/>
      <c r="Y396" s="18"/>
      <c r="Z396" s="19"/>
      <c r="AB396" s="20"/>
      <c r="AC396" s="15"/>
      <c r="AD396" s="15"/>
    </row>
    <row r="397">
      <c r="F397" s="15"/>
      <c r="G397" s="15"/>
      <c r="H397" s="15"/>
      <c r="K397" s="16"/>
      <c r="R397" s="17"/>
      <c r="S397" s="17"/>
      <c r="T397" s="17"/>
      <c r="U397" s="17"/>
      <c r="V397" s="18"/>
      <c r="W397" s="18"/>
      <c r="X397" s="17"/>
      <c r="Y397" s="18"/>
      <c r="Z397" s="19"/>
      <c r="AB397" s="20"/>
      <c r="AC397" s="15"/>
      <c r="AD397" s="15"/>
    </row>
    <row r="398">
      <c r="F398" s="15"/>
      <c r="G398" s="15"/>
      <c r="H398" s="15"/>
      <c r="K398" s="16"/>
      <c r="R398" s="17"/>
      <c r="S398" s="17"/>
      <c r="T398" s="17"/>
      <c r="U398" s="17"/>
      <c r="V398" s="18"/>
      <c r="W398" s="18"/>
      <c r="X398" s="17"/>
      <c r="Y398" s="18"/>
      <c r="Z398" s="19"/>
      <c r="AB398" s="20"/>
      <c r="AC398" s="15"/>
      <c r="AD398" s="15"/>
    </row>
    <row r="399">
      <c r="F399" s="15"/>
      <c r="G399" s="15"/>
      <c r="H399" s="15"/>
      <c r="K399" s="16"/>
      <c r="R399" s="17"/>
      <c r="S399" s="17"/>
      <c r="T399" s="17"/>
      <c r="U399" s="17"/>
      <c r="V399" s="18"/>
      <c r="W399" s="18"/>
      <c r="X399" s="17"/>
      <c r="Y399" s="18"/>
      <c r="Z399" s="19"/>
      <c r="AB399" s="20"/>
      <c r="AC399" s="15"/>
      <c r="AD399" s="15"/>
    </row>
    <row r="400">
      <c r="F400" s="15"/>
      <c r="G400" s="15"/>
      <c r="H400" s="15"/>
      <c r="K400" s="16"/>
      <c r="R400" s="17"/>
      <c r="S400" s="17"/>
      <c r="T400" s="17"/>
      <c r="U400" s="17"/>
      <c r="V400" s="18"/>
      <c r="W400" s="18"/>
      <c r="X400" s="17"/>
      <c r="Y400" s="18"/>
      <c r="Z400" s="19"/>
      <c r="AB400" s="20"/>
      <c r="AC400" s="15"/>
      <c r="AD400" s="15"/>
    </row>
    <row r="401">
      <c r="F401" s="15"/>
      <c r="G401" s="15"/>
      <c r="H401" s="15"/>
      <c r="K401" s="16"/>
      <c r="R401" s="17"/>
      <c r="S401" s="17"/>
      <c r="T401" s="17"/>
      <c r="U401" s="17"/>
      <c r="V401" s="18"/>
      <c r="W401" s="18"/>
      <c r="X401" s="17"/>
      <c r="Y401" s="18"/>
      <c r="Z401" s="19"/>
      <c r="AB401" s="20"/>
      <c r="AC401" s="15"/>
      <c r="AD401" s="15"/>
    </row>
    <row r="402">
      <c r="F402" s="15"/>
      <c r="G402" s="15"/>
      <c r="H402" s="15"/>
      <c r="K402" s="16"/>
      <c r="R402" s="17"/>
      <c r="S402" s="17"/>
      <c r="T402" s="17"/>
      <c r="U402" s="17"/>
      <c r="V402" s="18"/>
      <c r="W402" s="18"/>
      <c r="X402" s="17"/>
      <c r="Y402" s="18"/>
      <c r="Z402" s="19"/>
      <c r="AB402" s="20"/>
      <c r="AC402" s="15"/>
      <c r="AD402" s="15"/>
    </row>
    <row r="403">
      <c r="F403" s="15"/>
      <c r="G403" s="15"/>
      <c r="H403" s="15"/>
      <c r="K403" s="16"/>
      <c r="R403" s="17"/>
      <c r="S403" s="17"/>
      <c r="T403" s="17"/>
      <c r="U403" s="17"/>
      <c r="V403" s="18"/>
      <c r="W403" s="18"/>
      <c r="X403" s="17"/>
      <c r="Y403" s="18"/>
      <c r="Z403" s="19"/>
      <c r="AB403" s="20"/>
      <c r="AC403" s="15"/>
      <c r="AD403" s="15"/>
    </row>
    <row r="404">
      <c r="F404" s="15"/>
      <c r="G404" s="15"/>
      <c r="H404" s="15"/>
      <c r="K404" s="16"/>
      <c r="R404" s="17"/>
      <c r="S404" s="17"/>
      <c r="T404" s="17"/>
      <c r="U404" s="17"/>
      <c r="V404" s="18"/>
      <c r="W404" s="18"/>
      <c r="X404" s="17"/>
      <c r="Y404" s="18"/>
      <c r="Z404" s="19"/>
      <c r="AB404" s="20"/>
      <c r="AC404" s="15"/>
      <c r="AD404" s="15"/>
    </row>
    <row r="405">
      <c r="F405" s="15"/>
      <c r="G405" s="15"/>
      <c r="H405" s="15"/>
      <c r="K405" s="16"/>
      <c r="R405" s="17"/>
      <c r="S405" s="17"/>
      <c r="T405" s="17"/>
      <c r="U405" s="17"/>
      <c r="V405" s="18"/>
      <c r="W405" s="18"/>
      <c r="X405" s="17"/>
      <c r="Y405" s="18"/>
      <c r="Z405" s="19"/>
      <c r="AB405" s="20"/>
      <c r="AC405" s="15"/>
      <c r="AD405" s="15"/>
    </row>
    <row r="406">
      <c r="F406" s="15"/>
      <c r="G406" s="15"/>
      <c r="H406" s="15"/>
      <c r="K406" s="16"/>
      <c r="R406" s="17"/>
      <c r="S406" s="17"/>
      <c r="T406" s="17"/>
      <c r="U406" s="17"/>
      <c r="V406" s="18"/>
      <c r="W406" s="18"/>
      <c r="X406" s="17"/>
      <c r="Y406" s="18"/>
      <c r="Z406" s="19"/>
      <c r="AB406" s="20"/>
      <c r="AC406" s="15"/>
      <c r="AD406" s="15"/>
    </row>
    <row r="407">
      <c r="F407" s="15"/>
      <c r="G407" s="15"/>
      <c r="H407" s="15"/>
      <c r="K407" s="16"/>
      <c r="R407" s="17"/>
      <c r="S407" s="17"/>
      <c r="T407" s="17"/>
      <c r="U407" s="17"/>
      <c r="V407" s="18"/>
      <c r="W407" s="18"/>
      <c r="X407" s="17"/>
      <c r="Y407" s="18"/>
      <c r="Z407" s="19"/>
      <c r="AB407" s="20"/>
      <c r="AC407" s="15"/>
      <c r="AD407" s="15"/>
    </row>
    <row r="408">
      <c r="F408" s="15"/>
      <c r="G408" s="15"/>
      <c r="H408" s="15"/>
      <c r="K408" s="16"/>
      <c r="R408" s="17"/>
      <c r="S408" s="17"/>
      <c r="T408" s="17"/>
      <c r="U408" s="17"/>
      <c r="V408" s="18"/>
      <c r="W408" s="18"/>
      <c r="X408" s="17"/>
      <c r="Y408" s="18"/>
      <c r="Z408" s="19"/>
      <c r="AB408" s="20"/>
      <c r="AC408" s="15"/>
      <c r="AD408" s="15"/>
    </row>
    <row r="409">
      <c r="F409" s="15"/>
      <c r="G409" s="15"/>
      <c r="H409" s="15"/>
      <c r="K409" s="16"/>
      <c r="R409" s="17"/>
      <c r="S409" s="17"/>
      <c r="T409" s="17"/>
      <c r="U409" s="17"/>
      <c r="V409" s="18"/>
      <c r="W409" s="18"/>
      <c r="X409" s="17"/>
      <c r="Y409" s="18"/>
      <c r="Z409" s="19"/>
      <c r="AB409" s="20"/>
      <c r="AC409" s="15"/>
      <c r="AD409" s="15"/>
    </row>
    <row r="410">
      <c r="F410" s="15"/>
      <c r="G410" s="15"/>
      <c r="H410" s="15"/>
      <c r="K410" s="16"/>
      <c r="R410" s="17"/>
      <c r="S410" s="17"/>
      <c r="T410" s="17"/>
      <c r="U410" s="17"/>
      <c r="V410" s="18"/>
      <c r="W410" s="18"/>
      <c r="X410" s="17"/>
      <c r="Y410" s="18"/>
      <c r="Z410" s="19"/>
      <c r="AB410" s="20"/>
      <c r="AC410" s="15"/>
      <c r="AD410" s="15"/>
    </row>
    <row r="411">
      <c r="F411" s="15"/>
      <c r="G411" s="15"/>
      <c r="H411" s="15"/>
      <c r="K411" s="16"/>
      <c r="R411" s="17"/>
      <c r="S411" s="17"/>
      <c r="T411" s="17"/>
      <c r="U411" s="17"/>
      <c r="V411" s="18"/>
      <c r="W411" s="18"/>
      <c r="X411" s="17"/>
      <c r="Y411" s="18"/>
      <c r="Z411" s="19"/>
      <c r="AB411" s="20"/>
      <c r="AC411" s="15"/>
      <c r="AD411" s="15"/>
    </row>
    <row r="412">
      <c r="F412" s="15"/>
      <c r="G412" s="15"/>
      <c r="H412" s="15"/>
      <c r="K412" s="16"/>
      <c r="R412" s="17"/>
      <c r="S412" s="17"/>
      <c r="T412" s="17"/>
      <c r="U412" s="17"/>
      <c r="V412" s="18"/>
      <c r="W412" s="18"/>
      <c r="X412" s="17"/>
      <c r="Y412" s="18"/>
      <c r="Z412" s="19"/>
      <c r="AB412" s="20"/>
      <c r="AC412" s="15"/>
      <c r="AD412" s="15"/>
    </row>
    <row r="413">
      <c r="F413" s="15"/>
      <c r="G413" s="15"/>
      <c r="H413" s="15"/>
      <c r="K413" s="16"/>
      <c r="R413" s="17"/>
      <c r="S413" s="17"/>
      <c r="T413" s="17"/>
      <c r="U413" s="17"/>
      <c r="V413" s="18"/>
      <c r="W413" s="18"/>
      <c r="X413" s="17"/>
      <c r="Y413" s="18"/>
      <c r="Z413" s="19"/>
      <c r="AB413" s="20"/>
      <c r="AC413" s="15"/>
      <c r="AD413" s="15"/>
    </row>
    <row r="414">
      <c r="F414" s="15"/>
      <c r="G414" s="15"/>
      <c r="H414" s="15"/>
      <c r="K414" s="16"/>
      <c r="R414" s="17"/>
      <c r="S414" s="17"/>
      <c r="T414" s="17"/>
      <c r="U414" s="17"/>
      <c r="V414" s="18"/>
      <c r="W414" s="18"/>
      <c r="X414" s="17"/>
      <c r="Y414" s="18"/>
      <c r="Z414" s="19"/>
      <c r="AB414" s="20"/>
      <c r="AC414" s="15"/>
      <c r="AD414" s="15"/>
    </row>
    <row r="415">
      <c r="F415" s="15"/>
      <c r="G415" s="15"/>
      <c r="H415" s="15"/>
      <c r="K415" s="16"/>
      <c r="R415" s="17"/>
      <c r="S415" s="17"/>
      <c r="T415" s="17"/>
      <c r="U415" s="17"/>
      <c r="V415" s="18"/>
      <c r="W415" s="18"/>
      <c r="X415" s="17"/>
      <c r="Y415" s="18"/>
      <c r="Z415" s="19"/>
      <c r="AB415" s="20"/>
      <c r="AC415" s="15"/>
      <c r="AD415" s="15"/>
    </row>
    <row r="416">
      <c r="F416" s="15"/>
      <c r="G416" s="15"/>
      <c r="H416" s="15"/>
      <c r="K416" s="16"/>
      <c r="R416" s="17"/>
      <c r="S416" s="17"/>
      <c r="T416" s="17"/>
      <c r="U416" s="17"/>
      <c r="V416" s="18"/>
      <c r="W416" s="18"/>
      <c r="X416" s="17"/>
      <c r="Y416" s="18"/>
      <c r="Z416" s="19"/>
      <c r="AB416" s="20"/>
      <c r="AC416" s="15"/>
      <c r="AD416" s="15"/>
    </row>
    <row r="417">
      <c r="F417" s="15"/>
      <c r="G417" s="15"/>
      <c r="H417" s="15"/>
      <c r="K417" s="16"/>
      <c r="R417" s="17"/>
      <c r="S417" s="17"/>
      <c r="T417" s="17"/>
      <c r="U417" s="17"/>
      <c r="V417" s="18"/>
      <c r="W417" s="18"/>
      <c r="X417" s="17"/>
      <c r="Y417" s="18"/>
      <c r="Z417" s="19"/>
      <c r="AB417" s="20"/>
      <c r="AC417" s="15"/>
      <c r="AD417" s="15"/>
    </row>
    <row r="418">
      <c r="F418" s="15"/>
      <c r="G418" s="15"/>
      <c r="H418" s="15"/>
      <c r="K418" s="16"/>
      <c r="R418" s="17"/>
      <c r="S418" s="17"/>
      <c r="T418" s="17"/>
      <c r="U418" s="17"/>
      <c r="V418" s="18"/>
      <c r="W418" s="18"/>
      <c r="X418" s="17"/>
      <c r="Y418" s="18"/>
      <c r="Z418" s="19"/>
      <c r="AB418" s="20"/>
      <c r="AC418" s="15"/>
      <c r="AD418" s="15"/>
    </row>
    <row r="419">
      <c r="F419" s="15"/>
      <c r="G419" s="15"/>
      <c r="H419" s="15"/>
      <c r="K419" s="16"/>
      <c r="R419" s="17"/>
      <c r="S419" s="17"/>
      <c r="T419" s="17"/>
      <c r="U419" s="17"/>
      <c r="V419" s="18"/>
      <c r="W419" s="18"/>
      <c r="X419" s="17"/>
      <c r="Y419" s="18"/>
      <c r="Z419" s="19"/>
      <c r="AB419" s="20"/>
      <c r="AC419" s="15"/>
      <c r="AD419" s="15"/>
    </row>
    <row r="420">
      <c r="F420" s="15"/>
      <c r="G420" s="15"/>
      <c r="H420" s="15"/>
      <c r="K420" s="16"/>
      <c r="R420" s="17"/>
      <c r="S420" s="17"/>
      <c r="T420" s="17"/>
      <c r="U420" s="17"/>
      <c r="V420" s="18"/>
      <c r="W420" s="18"/>
      <c r="X420" s="17"/>
      <c r="Y420" s="18"/>
      <c r="Z420" s="19"/>
      <c r="AB420" s="20"/>
      <c r="AC420" s="15"/>
      <c r="AD420" s="15"/>
    </row>
    <row r="421">
      <c r="F421" s="15"/>
      <c r="G421" s="15"/>
      <c r="H421" s="15"/>
      <c r="K421" s="16"/>
      <c r="R421" s="17"/>
      <c r="S421" s="17"/>
      <c r="T421" s="17"/>
      <c r="U421" s="17"/>
      <c r="V421" s="18"/>
      <c r="W421" s="18"/>
      <c r="X421" s="17"/>
      <c r="Y421" s="18"/>
      <c r="Z421" s="19"/>
      <c r="AB421" s="20"/>
      <c r="AC421" s="15"/>
      <c r="AD421" s="15"/>
    </row>
    <row r="422">
      <c r="F422" s="15"/>
      <c r="G422" s="15"/>
      <c r="H422" s="15"/>
      <c r="K422" s="16"/>
      <c r="R422" s="17"/>
      <c r="S422" s="17"/>
      <c r="T422" s="17"/>
      <c r="U422" s="17"/>
      <c r="V422" s="18"/>
      <c r="W422" s="18"/>
      <c r="X422" s="17"/>
      <c r="Y422" s="18"/>
      <c r="Z422" s="19"/>
      <c r="AB422" s="20"/>
      <c r="AC422" s="15"/>
      <c r="AD422" s="15"/>
    </row>
    <row r="423">
      <c r="F423" s="15"/>
      <c r="G423" s="15"/>
      <c r="H423" s="15"/>
      <c r="K423" s="16"/>
      <c r="R423" s="17"/>
      <c r="S423" s="17"/>
      <c r="T423" s="17"/>
      <c r="U423" s="17"/>
      <c r="V423" s="18"/>
      <c r="W423" s="18"/>
      <c r="X423" s="17"/>
      <c r="Y423" s="18"/>
      <c r="Z423" s="19"/>
      <c r="AB423" s="20"/>
      <c r="AC423" s="15"/>
      <c r="AD423" s="15"/>
    </row>
    <row r="424">
      <c r="F424" s="15"/>
      <c r="G424" s="15"/>
      <c r="H424" s="15"/>
      <c r="K424" s="16"/>
      <c r="R424" s="17"/>
      <c r="S424" s="17"/>
      <c r="T424" s="17"/>
      <c r="U424" s="17"/>
      <c r="V424" s="18"/>
      <c r="W424" s="18"/>
      <c r="X424" s="17"/>
      <c r="Y424" s="18"/>
      <c r="Z424" s="19"/>
      <c r="AB424" s="20"/>
      <c r="AC424" s="15"/>
      <c r="AD424" s="15"/>
    </row>
    <row r="425">
      <c r="F425" s="15"/>
      <c r="G425" s="15"/>
      <c r="H425" s="15"/>
      <c r="K425" s="16"/>
      <c r="R425" s="17"/>
      <c r="S425" s="17"/>
      <c r="T425" s="17"/>
      <c r="U425" s="17"/>
      <c r="V425" s="18"/>
      <c r="W425" s="18"/>
      <c r="X425" s="17"/>
      <c r="Y425" s="18"/>
      <c r="Z425" s="19"/>
      <c r="AB425" s="20"/>
      <c r="AC425" s="15"/>
      <c r="AD425" s="15"/>
    </row>
    <row r="426">
      <c r="F426" s="15"/>
      <c r="G426" s="15"/>
      <c r="H426" s="15"/>
      <c r="K426" s="16"/>
      <c r="R426" s="17"/>
      <c r="S426" s="17"/>
      <c r="T426" s="17"/>
      <c r="U426" s="17"/>
      <c r="V426" s="18"/>
      <c r="W426" s="18"/>
      <c r="X426" s="17"/>
      <c r="Y426" s="18"/>
      <c r="Z426" s="19"/>
      <c r="AB426" s="20"/>
      <c r="AC426" s="15"/>
      <c r="AD426" s="15"/>
    </row>
    <row r="427">
      <c r="F427" s="15"/>
      <c r="G427" s="15"/>
      <c r="H427" s="15"/>
      <c r="K427" s="16"/>
      <c r="R427" s="17"/>
      <c r="S427" s="17"/>
      <c r="T427" s="17"/>
      <c r="U427" s="17"/>
      <c r="V427" s="18"/>
      <c r="W427" s="18"/>
      <c r="X427" s="17"/>
      <c r="Y427" s="18"/>
      <c r="Z427" s="19"/>
      <c r="AB427" s="20"/>
      <c r="AC427" s="15"/>
      <c r="AD427" s="15"/>
    </row>
    <row r="428">
      <c r="F428" s="15"/>
      <c r="G428" s="15"/>
      <c r="H428" s="15"/>
      <c r="K428" s="16"/>
      <c r="R428" s="17"/>
      <c r="S428" s="17"/>
      <c r="T428" s="17"/>
      <c r="U428" s="17"/>
      <c r="V428" s="18"/>
      <c r="W428" s="18"/>
      <c r="X428" s="17"/>
      <c r="Y428" s="18"/>
      <c r="Z428" s="19"/>
      <c r="AB428" s="20"/>
      <c r="AC428" s="15"/>
      <c r="AD428" s="15"/>
    </row>
    <row r="429">
      <c r="F429" s="15"/>
      <c r="G429" s="15"/>
      <c r="H429" s="15"/>
      <c r="K429" s="16"/>
      <c r="R429" s="17"/>
      <c r="S429" s="17"/>
      <c r="T429" s="17"/>
      <c r="U429" s="17"/>
      <c r="V429" s="18"/>
      <c r="W429" s="18"/>
      <c r="X429" s="17"/>
      <c r="Y429" s="18"/>
      <c r="Z429" s="19"/>
      <c r="AB429" s="20"/>
      <c r="AC429" s="15"/>
      <c r="AD429" s="15"/>
    </row>
    <row r="430">
      <c r="F430" s="15"/>
      <c r="G430" s="15"/>
      <c r="H430" s="15"/>
      <c r="K430" s="16"/>
      <c r="R430" s="17"/>
      <c r="S430" s="17"/>
      <c r="T430" s="17"/>
      <c r="U430" s="17"/>
      <c r="V430" s="18"/>
      <c r="W430" s="18"/>
      <c r="X430" s="17"/>
      <c r="Y430" s="18"/>
      <c r="Z430" s="19"/>
      <c r="AB430" s="20"/>
      <c r="AC430" s="15"/>
      <c r="AD430" s="15"/>
    </row>
    <row r="431">
      <c r="F431" s="15"/>
      <c r="G431" s="15"/>
      <c r="H431" s="15"/>
      <c r="K431" s="16"/>
      <c r="R431" s="17"/>
      <c r="S431" s="17"/>
      <c r="T431" s="17"/>
      <c r="U431" s="17"/>
      <c r="V431" s="18"/>
      <c r="W431" s="18"/>
      <c r="X431" s="17"/>
      <c r="Y431" s="18"/>
      <c r="Z431" s="19"/>
      <c r="AB431" s="20"/>
      <c r="AC431" s="15"/>
      <c r="AD431" s="15"/>
    </row>
    <row r="432">
      <c r="F432" s="15"/>
      <c r="G432" s="15"/>
      <c r="H432" s="15"/>
      <c r="K432" s="16"/>
      <c r="R432" s="17"/>
      <c r="S432" s="17"/>
      <c r="T432" s="17"/>
      <c r="U432" s="17"/>
      <c r="V432" s="18"/>
      <c r="W432" s="18"/>
      <c r="X432" s="17"/>
      <c r="Y432" s="18"/>
      <c r="Z432" s="19"/>
      <c r="AB432" s="20"/>
      <c r="AC432" s="15"/>
      <c r="AD432" s="15"/>
    </row>
    <row r="433">
      <c r="F433" s="15"/>
      <c r="G433" s="15"/>
      <c r="H433" s="15"/>
      <c r="K433" s="16"/>
      <c r="R433" s="17"/>
      <c r="S433" s="17"/>
      <c r="T433" s="17"/>
      <c r="U433" s="17"/>
      <c r="V433" s="18"/>
      <c r="W433" s="18"/>
      <c r="X433" s="17"/>
      <c r="Y433" s="18"/>
      <c r="Z433" s="19"/>
      <c r="AB433" s="20"/>
      <c r="AC433" s="15"/>
      <c r="AD433" s="15"/>
    </row>
    <row r="434">
      <c r="F434" s="15"/>
      <c r="G434" s="15"/>
      <c r="H434" s="15"/>
      <c r="K434" s="16"/>
      <c r="R434" s="17"/>
      <c r="S434" s="17"/>
      <c r="T434" s="17"/>
      <c r="U434" s="17"/>
      <c r="V434" s="18"/>
      <c r="W434" s="18"/>
      <c r="X434" s="17"/>
      <c r="Y434" s="18"/>
      <c r="Z434" s="19"/>
      <c r="AB434" s="20"/>
      <c r="AC434" s="15"/>
      <c r="AD434" s="15"/>
    </row>
    <row r="435">
      <c r="F435" s="15"/>
      <c r="G435" s="15"/>
      <c r="H435" s="15"/>
      <c r="K435" s="16"/>
      <c r="R435" s="17"/>
      <c r="S435" s="17"/>
      <c r="T435" s="17"/>
      <c r="U435" s="17"/>
      <c r="V435" s="18"/>
      <c r="W435" s="18"/>
      <c r="X435" s="17"/>
      <c r="Y435" s="18"/>
      <c r="Z435" s="19"/>
      <c r="AB435" s="20"/>
      <c r="AC435" s="15"/>
      <c r="AD435" s="15"/>
    </row>
    <row r="436">
      <c r="F436" s="15"/>
      <c r="G436" s="15"/>
      <c r="H436" s="15"/>
      <c r="K436" s="16"/>
      <c r="R436" s="17"/>
      <c r="S436" s="17"/>
      <c r="T436" s="17"/>
      <c r="U436" s="17"/>
      <c r="V436" s="18"/>
      <c r="W436" s="18"/>
      <c r="X436" s="17"/>
      <c r="Y436" s="18"/>
      <c r="Z436" s="19"/>
      <c r="AB436" s="20"/>
      <c r="AC436" s="15"/>
      <c r="AD436" s="15"/>
    </row>
    <row r="437">
      <c r="F437" s="15"/>
      <c r="G437" s="15"/>
      <c r="H437" s="15"/>
      <c r="K437" s="16"/>
      <c r="R437" s="17"/>
      <c r="S437" s="17"/>
      <c r="T437" s="17"/>
      <c r="U437" s="17"/>
      <c r="V437" s="18"/>
      <c r="W437" s="18"/>
      <c r="X437" s="17"/>
      <c r="Y437" s="18"/>
      <c r="Z437" s="19"/>
      <c r="AB437" s="20"/>
      <c r="AC437" s="15"/>
      <c r="AD437" s="15"/>
    </row>
    <row r="438">
      <c r="F438" s="15"/>
      <c r="G438" s="15"/>
      <c r="H438" s="15"/>
      <c r="K438" s="16"/>
      <c r="R438" s="17"/>
      <c r="S438" s="17"/>
      <c r="T438" s="17"/>
      <c r="U438" s="17"/>
      <c r="V438" s="18"/>
      <c r="W438" s="18"/>
      <c r="X438" s="17"/>
      <c r="Y438" s="18"/>
      <c r="Z438" s="19"/>
      <c r="AB438" s="20"/>
      <c r="AC438" s="15"/>
      <c r="AD438" s="15"/>
    </row>
    <row r="439">
      <c r="F439" s="15"/>
      <c r="G439" s="15"/>
      <c r="H439" s="15"/>
      <c r="K439" s="16"/>
      <c r="R439" s="17"/>
      <c r="S439" s="17"/>
      <c r="T439" s="17"/>
      <c r="U439" s="17"/>
      <c r="V439" s="18"/>
      <c r="W439" s="18"/>
      <c r="X439" s="17"/>
      <c r="Y439" s="18"/>
      <c r="Z439" s="19"/>
      <c r="AB439" s="20"/>
      <c r="AC439" s="15"/>
      <c r="AD439" s="15"/>
    </row>
    <row r="440">
      <c r="F440" s="15"/>
      <c r="G440" s="15"/>
      <c r="H440" s="15"/>
      <c r="K440" s="16"/>
      <c r="R440" s="17"/>
      <c r="S440" s="17"/>
      <c r="T440" s="17"/>
      <c r="U440" s="17"/>
      <c r="V440" s="18"/>
      <c r="W440" s="18"/>
      <c r="X440" s="17"/>
      <c r="Y440" s="18"/>
      <c r="Z440" s="19"/>
      <c r="AB440" s="20"/>
      <c r="AC440" s="15"/>
      <c r="AD440" s="15"/>
    </row>
    <row r="441">
      <c r="F441" s="15"/>
      <c r="G441" s="15"/>
      <c r="H441" s="15"/>
      <c r="K441" s="16"/>
      <c r="R441" s="17"/>
      <c r="S441" s="17"/>
      <c r="T441" s="17"/>
      <c r="U441" s="17"/>
      <c r="V441" s="18"/>
      <c r="W441" s="18"/>
      <c r="X441" s="17"/>
      <c r="Y441" s="18"/>
      <c r="Z441" s="19"/>
      <c r="AB441" s="20"/>
      <c r="AC441" s="15"/>
      <c r="AD441" s="15"/>
    </row>
    <row r="442">
      <c r="F442" s="15"/>
      <c r="G442" s="15"/>
      <c r="H442" s="15"/>
      <c r="K442" s="16"/>
      <c r="R442" s="17"/>
      <c r="S442" s="17"/>
      <c r="T442" s="17"/>
      <c r="U442" s="17"/>
      <c r="V442" s="18"/>
      <c r="W442" s="18"/>
      <c r="X442" s="17"/>
      <c r="Y442" s="18"/>
      <c r="Z442" s="19"/>
      <c r="AB442" s="20"/>
      <c r="AC442" s="15"/>
      <c r="AD442" s="15"/>
    </row>
    <row r="443">
      <c r="F443" s="15"/>
      <c r="G443" s="15"/>
      <c r="H443" s="15"/>
      <c r="K443" s="16"/>
      <c r="R443" s="17"/>
      <c r="S443" s="17"/>
      <c r="T443" s="17"/>
      <c r="U443" s="17"/>
      <c r="V443" s="18"/>
      <c r="W443" s="18"/>
      <c r="X443" s="17"/>
      <c r="Y443" s="18"/>
      <c r="Z443" s="19"/>
      <c r="AB443" s="20"/>
      <c r="AC443" s="15"/>
      <c r="AD443" s="15"/>
    </row>
    <row r="444">
      <c r="F444" s="15"/>
      <c r="G444" s="15"/>
      <c r="H444" s="15"/>
      <c r="K444" s="16"/>
      <c r="R444" s="17"/>
      <c r="S444" s="17"/>
      <c r="T444" s="17"/>
      <c r="U444" s="17"/>
      <c r="V444" s="18"/>
      <c r="W444" s="18"/>
      <c r="X444" s="17"/>
      <c r="Y444" s="18"/>
      <c r="Z444" s="19"/>
      <c r="AB444" s="20"/>
      <c r="AC444" s="15"/>
      <c r="AD444" s="15"/>
    </row>
    <row r="445">
      <c r="F445" s="15"/>
      <c r="G445" s="15"/>
      <c r="H445" s="15"/>
      <c r="K445" s="16"/>
      <c r="R445" s="17"/>
      <c r="S445" s="17"/>
      <c r="T445" s="17"/>
      <c r="U445" s="17"/>
      <c r="V445" s="18"/>
      <c r="W445" s="18"/>
      <c r="X445" s="17"/>
      <c r="Y445" s="18"/>
      <c r="Z445" s="19"/>
      <c r="AB445" s="20"/>
      <c r="AC445" s="15"/>
      <c r="AD445" s="15"/>
    </row>
    <row r="446">
      <c r="F446" s="15"/>
      <c r="G446" s="15"/>
      <c r="H446" s="15"/>
      <c r="K446" s="16"/>
      <c r="R446" s="17"/>
      <c r="S446" s="17"/>
      <c r="T446" s="17"/>
      <c r="U446" s="17"/>
      <c r="V446" s="18"/>
      <c r="W446" s="18"/>
      <c r="X446" s="17"/>
      <c r="Y446" s="18"/>
      <c r="Z446" s="19"/>
      <c r="AB446" s="20"/>
      <c r="AC446" s="15"/>
      <c r="AD446" s="15"/>
    </row>
    <row r="447">
      <c r="F447" s="15"/>
      <c r="G447" s="15"/>
      <c r="H447" s="15"/>
      <c r="K447" s="16"/>
      <c r="R447" s="17"/>
      <c r="S447" s="17"/>
      <c r="T447" s="17"/>
      <c r="U447" s="17"/>
      <c r="V447" s="18"/>
      <c r="W447" s="18"/>
      <c r="X447" s="17"/>
      <c r="Y447" s="18"/>
      <c r="Z447" s="19"/>
      <c r="AB447" s="20"/>
      <c r="AC447" s="15"/>
      <c r="AD447" s="15"/>
    </row>
    <row r="448">
      <c r="F448" s="15"/>
      <c r="G448" s="15"/>
      <c r="H448" s="15"/>
      <c r="K448" s="16"/>
      <c r="R448" s="17"/>
      <c r="S448" s="17"/>
      <c r="T448" s="17"/>
      <c r="U448" s="17"/>
      <c r="V448" s="18"/>
      <c r="W448" s="18"/>
      <c r="X448" s="17"/>
      <c r="Y448" s="18"/>
      <c r="Z448" s="19"/>
      <c r="AB448" s="20"/>
      <c r="AC448" s="15"/>
      <c r="AD448" s="15"/>
    </row>
    <row r="449">
      <c r="F449" s="15"/>
      <c r="G449" s="15"/>
      <c r="H449" s="15"/>
      <c r="K449" s="16"/>
      <c r="R449" s="17"/>
      <c r="S449" s="17"/>
      <c r="T449" s="17"/>
      <c r="U449" s="17"/>
      <c r="V449" s="18"/>
      <c r="W449" s="18"/>
      <c r="X449" s="17"/>
      <c r="Y449" s="18"/>
      <c r="Z449" s="19"/>
      <c r="AB449" s="20"/>
      <c r="AC449" s="15"/>
      <c r="AD449" s="15"/>
    </row>
    <row r="450">
      <c r="F450" s="15"/>
      <c r="G450" s="15"/>
      <c r="H450" s="15"/>
      <c r="K450" s="16"/>
      <c r="R450" s="17"/>
      <c r="S450" s="17"/>
      <c r="T450" s="17"/>
      <c r="U450" s="17"/>
      <c r="V450" s="18"/>
      <c r="W450" s="18"/>
      <c r="X450" s="17"/>
      <c r="Y450" s="18"/>
      <c r="Z450" s="19"/>
      <c r="AB450" s="20"/>
      <c r="AC450" s="15"/>
      <c r="AD450" s="15"/>
    </row>
    <row r="451">
      <c r="F451" s="15"/>
      <c r="G451" s="15"/>
      <c r="H451" s="15"/>
      <c r="K451" s="16"/>
      <c r="R451" s="17"/>
      <c r="S451" s="17"/>
      <c r="T451" s="17"/>
      <c r="U451" s="17"/>
      <c r="V451" s="18"/>
      <c r="W451" s="18"/>
      <c r="X451" s="17"/>
      <c r="Y451" s="18"/>
      <c r="Z451" s="19"/>
      <c r="AB451" s="20"/>
      <c r="AC451" s="15"/>
      <c r="AD451" s="15"/>
    </row>
    <row r="452">
      <c r="F452" s="15"/>
      <c r="G452" s="15"/>
      <c r="H452" s="15"/>
      <c r="K452" s="16"/>
      <c r="R452" s="17"/>
      <c r="S452" s="17"/>
      <c r="T452" s="17"/>
      <c r="U452" s="17"/>
      <c r="V452" s="18"/>
      <c r="W452" s="18"/>
      <c r="X452" s="17"/>
      <c r="Y452" s="18"/>
      <c r="Z452" s="19"/>
      <c r="AB452" s="20"/>
      <c r="AC452" s="15"/>
      <c r="AD452" s="15"/>
    </row>
    <row r="453">
      <c r="F453" s="15"/>
      <c r="G453" s="15"/>
      <c r="H453" s="15"/>
      <c r="K453" s="16"/>
      <c r="R453" s="17"/>
      <c r="S453" s="17"/>
      <c r="T453" s="17"/>
      <c r="U453" s="17"/>
      <c r="V453" s="18"/>
      <c r="W453" s="18"/>
      <c r="X453" s="17"/>
      <c r="Y453" s="18"/>
      <c r="Z453" s="19"/>
      <c r="AB453" s="20"/>
      <c r="AC453" s="15"/>
      <c r="AD453" s="15"/>
    </row>
    <row r="454">
      <c r="F454" s="15"/>
      <c r="G454" s="15"/>
      <c r="H454" s="15"/>
      <c r="K454" s="16"/>
      <c r="R454" s="17"/>
      <c r="S454" s="17"/>
      <c r="T454" s="17"/>
      <c r="U454" s="17"/>
      <c r="V454" s="18"/>
      <c r="W454" s="18"/>
      <c r="X454" s="17"/>
      <c r="Y454" s="18"/>
      <c r="Z454" s="19"/>
      <c r="AB454" s="20"/>
      <c r="AC454" s="15"/>
      <c r="AD454" s="15"/>
    </row>
    <row r="455">
      <c r="F455" s="15"/>
      <c r="G455" s="15"/>
      <c r="H455" s="15"/>
      <c r="K455" s="16"/>
      <c r="R455" s="17"/>
      <c r="S455" s="17"/>
      <c r="T455" s="17"/>
      <c r="U455" s="17"/>
      <c r="V455" s="18"/>
      <c r="W455" s="18"/>
      <c r="X455" s="17"/>
      <c r="Y455" s="18"/>
      <c r="Z455" s="19"/>
      <c r="AB455" s="20"/>
      <c r="AC455" s="15"/>
      <c r="AD455" s="15"/>
    </row>
    <row r="456">
      <c r="F456" s="15"/>
      <c r="G456" s="15"/>
      <c r="H456" s="15"/>
      <c r="K456" s="16"/>
      <c r="R456" s="17"/>
      <c r="S456" s="17"/>
      <c r="T456" s="17"/>
      <c r="U456" s="17"/>
      <c r="V456" s="18"/>
      <c r="W456" s="18"/>
      <c r="X456" s="17"/>
      <c r="Y456" s="18"/>
      <c r="Z456" s="19"/>
      <c r="AB456" s="20"/>
      <c r="AC456" s="15"/>
      <c r="AD456" s="15"/>
    </row>
    <row r="457">
      <c r="F457" s="15"/>
      <c r="G457" s="15"/>
      <c r="H457" s="15"/>
      <c r="K457" s="16"/>
      <c r="R457" s="17"/>
      <c r="S457" s="17"/>
      <c r="T457" s="17"/>
      <c r="U457" s="17"/>
      <c r="V457" s="18"/>
      <c r="W457" s="18"/>
      <c r="X457" s="17"/>
      <c r="Y457" s="18"/>
      <c r="Z457" s="19"/>
      <c r="AB457" s="20"/>
      <c r="AC457" s="15"/>
      <c r="AD457" s="15"/>
    </row>
    <row r="458">
      <c r="F458" s="15"/>
      <c r="G458" s="15"/>
      <c r="H458" s="15"/>
      <c r="K458" s="16"/>
      <c r="R458" s="17"/>
      <c r="S458" s="17"/>
      <c r="T458" s="17"/>
      <c r="U458" s="17"/>
      <c r="V458" s="18"/>
      <c r="W458" s="18"/>
      <c r="X458" s="17"/>
      <c r="Y458" s="18"/>
      <c r="Z458" s="19"/>
      <c r="AB458" s="20"/>
      <c r="AC458" s="15"/>
      <c r="AD458" s="15"/>
    </row>
    <row r="459">
      <c r="F459" s="15"/>
      <c r="G459" s="15"/>
      <c r="H459" s="15"/>
      <c r="K459" s="16"/>
      <c r="R459" s="17"/>
      <c r="S459" s="17"/>
      <c r="T459" s="17"/>
      <c r="U459" s="17"/>
      <c r="V459" s="18"/>
      <c r="W459" s="18"/>
      <c r="X459" s="17"/>
      <c r="Y459" s="18"/>
      <c r="Z459" s="19"/>
      <c r="AB459" s="20"/>
      <c r="AC459" s="15"/>
      <c r="AD459" s="15"/>
    </row>
    <row r="460">
      <c r="F460" s="15"/>
      <c r="G460" s="15"/>
      <c r="H460" s="15"/>
      <c r="K460" s="16"/>
      <c r="R460" s="17"/>
      <c r="S460" s="17"/>
      <c r="T460" s="17"/>
      <c r="U460" s="17"/>
      <c r="V460" s="18"/>
      <c r="W460" s="18"/>
      <c r="X460" s="17"/>
      <c r="Y460" s="18"/>
      <c r="Z460" s="19"/>
      <c r="AB460" s="20"/>
      <c r="AC460" s="15"/>
      <c r="AD460" s="15"/>
    </row>
    <row r="461">
      <c r="F461" s="15"/>
      <c r="G461" s="15"/>
      <c r="H461" s="15"/>
      <c r="K461" s="16"/>
      <c r="R461" s="17"/>
      <c r="S461" s="17"/>
      <c r="T461" s="17"/>
      <c r="U461" s="17"/>
      <c r="V461" s="18"/>
      <c r="W461" s="18"/>
      <c r="X461" s="17"/>
      <c r="Y461" s="18"/>
      <c r="Z461" s="19"/>
      <c r="AB461" s="20"/>
      <c r="AC461" s="15"/>
      <c r="AD461" s="15"/>
    </row>
    <row r="462">
      <c r="F462" s="15"/>
      <c r="G462" s="15"/>
      <c r="H462" s="15"/>
      <c r="K462" s="16"/>
      <c r="R462" s="17"/>
      <c r="S462" s="17"/>
      <c r="T462" s="17"/>
      <c r="U462" s="17"/>
      <c r="V462" s="18"/>
      <c r="W462" s="18"/>
      <c r="X462" s="17"/>
      <c r="Y462" s="18"/>
      <c r="Z462" s="19"/>
      <c r="AB462" s="20"/>
      <c r="AC462" s="15"/>
      <c r="AD462" s="15"/>
    </row>
    <row r="463">
      <c r="F463" s="15"/>
      <c r="G463" s="15"/>
      <c r="H463" s="15"/>
      <c r="K463" s="16"/>
      <c r="R463" s="17"/>
      <c r="S463" s="17"/>
      <c r="T463" s="17"/>
      <c r="U463" s="17"/>
      <c r="V463" s="18"/>
      <c r="W463" s="18"/>
      <c r="X463" s="17"/>
      <c r="Y463" s="18"/>
      <c r="Z463" s="19"/>
      <c r="AB463" s="20"/>
      <c r="AC463" s="15"/>
      <c r="AD463" s="15"/>
    </row>
    <row r="464">
      <c r="F464" s="15"/>
      <c r="G464" s="15"/>
      <c r="H464" s="15"/>
      <c r="K464" s="16"/>
      <c r="R464" s="17"/>
      <c r="S464" s="17"/>
      <c r="T464" s="17"/>
      <c r="U464" s="17"/>
      <c r="V464" s="18"/>
      <c r="W464" s="18"/>
      <c r="X464" s="17"/>
      <c r="Y464" s="18"/>
      <c r="Z464" s="19"/>
      <c r="AB464" s="20"/>
      <c r="AC464" s="15"/>
      <c r="AD464" s="15"/>
    </row>
    <row r="465">
      <c r="F465" s="15"/>
      <c r="G465" s="15"/>
      <c r="H465" s="15"/>
      <c r="K465" s="16"/>
      <c r="R465" s="17"/>
      <c r="S465" s="17"/>
      <c r="T465" s="17"/>
      <c r="U465" s="17"/>
      <c r="V465" s="18"/>
      <c r="W465" s="18"/>
      <c r="X465" s="17"/>
      <c r="Y465" s="18"/>
      <c r="Z465" s="19"/>
      <c r="AB465" s="20"/>
      <c r="AC465" s="15"/>
      <c r="AD465" s="15"/>
    </row>
    <row r="466">
      <c r="F466" s="15"/>
      <c r="G466" s="15"/>
      <c r="H466" s="15"/>
      <c r="K466" s="16"/>
      <c r="R466" s="17"/>
      <c r="S466" s="17"/>
      <c r="T466" s="17"/>
      <c r="U466" s="17"/>
      <c r="V466" s="18"/>
      <c r="W466" s="18"/>
      <c r="X466" s="17"/>
      <c r="Y466" s="18"/>
      <c r="Z466" s="19"/>
      <c r="AB466" s="20"/>
      <c r="AC466" s="15"/>
      <c r="AD466" s="15"/>
    </row>
    <row r="467">
      <c r="F467" s="15"/>
      <c r="G467" s="15"/>
      <c r="H467" s="15"/>
      <c r="K467" s="16"/>
      <c r="R467" s="17"/>
      <c r="S467" s="17"/>
      <c r="T467" s="17"/>
      <c r="U467" s="17"/>
      <c r="V467" s="18"/>
      <c r="W467" s="18"/>
      <c r="X467" s="17"/>
      <c r="Y467" s="18"/>
      <c r="Z467" s="19"/>
      <c r="AB467" s="20"/>
      <c r="AC467" s="15"/>
      <c r="AD467" s="15"/>
    </row>
    <row r="468">
      <c r="F468" s="15"/>
      <c r="G468" s="15"/>
      <c r="H468" s="15"/>
      <c r="K468" s="16"/>
      <c r="R468" s="17"/>
      <c r="S468" s="17"/>
      <c r="T468" s="17"/>
      <c r="U468" s="17"/>
      <c r="V468" s="18"/>
      <c r="W468" s="18"/>
      <c r="X468" s="17"/>
      <c r="Y468" s="18"/>
      <c r="Z468" s="19"/>
      <c r="AB468" s="20"/>
      <c r="AC468" s="15"/>
      <c r="AD468" s="15"/>
    </row>
    <row r="469">
      <c r="F469" s="15"/>
      <c r="G469" s="15"/>
      <c r="H469" s="15"/>
      <c r="K469" s="16"/>
      <c r="R469" s="17"/>
      <c r="S469" s="17"/>
      <c r="T469" s="17"/>
      <c r="U469" s="17"/>
      <c r="V469" s="18"/>
      <c r="W469" s="18"/>
      <c r="X469" s="17"/>
      <c r="Y469" s="18"/>
      <c r="Z469" s="19"/>
      <c r="AB469" s="20"/>
      <c r="AC469" s="15"/>
      <c r="AD469" s="15"/>
    </row>
    <row r="470">
      <c r="F470" s="15"/>
      <c r="G470" s="15"/>
      <c r="H470" s="15"/>
      <c r="K470" s="16"/>
      <c r="R470" s="17"/>
      <c r="S470" s="17"/>
      <c r="T470" s="17"/>
      <c r="U470" s="17"/>
      <c r="V470" s="18"/>
      <c r="W470" s="18"/>
      <c r="X470" s="17"/>
      <c r="Y470" s="18"/>
      <c r="Z470" s="19"/>
      <c r="AB470" s="20"/>
      <c r="AC470" s="15"/>
      <c r="AD470" s="15"/>
    </row>
    <row r="471">
      <c r="F471" s="15"/>
      <c r="G471" s="15"/>
      <c r="H471" s="15"/>
      <c r="K471" s="16"/>
      <c r="R471" s="17"/>
      <c r="S471" s="17"/>
      <c r="T471" s="17"/>
      <c r="U471" s="17"/>
      <c r="V471" s="18"/>
      <c r="W471" s="18"/>
      <c r="X471" s="17"/>
      <c r="Y471" s="18"/>
      <c r="Z471" s="19"/>
      <c r="AB471" s="20"/>
      <c r="AC471" s="15"/>
      <c r="AD471" s="15"/>
    </row>
    <row r="472">
      <c r="F472" s="15"/>
      <c r="G472" s="15"/>
      <c r="H472" s="15"/>
      <c r="K472" s="16"/>
      <c r="R472" s="17"/>
      <c r="S472" s="17"/>
      <c r="T472" s="17"/>
      <c r="U472" s="17"/>
      <c r="V472" s="18"/>
      <c r="W472" s="18"/>
      <c r="X472" s="17"/>
      <c r="Y472" s="18"/>
      <c r="Z472" s="19"/>
      <c r="AB472" s="20"/>
      <c r="AC472" s="15"/>
      <c r="AD472" s="15"/>
    </row>
    <row r="473">
      <c r="F473" s="15"/>
      <c r="G473" s="15"/>
      <c r="H473" s="15"/>
      <c r="K473" s="16"/>
      <c r="R473" s="17"/>
      <c r="S473" s="17"/>
      <c r="T473" s="17"/>
      <c r="U473" s="17"/>
      <c r="V473" s="18"/>
      <c r="W473" s="18"/>
      <c r="X473" s="17"/>
      <c r="Y473" s="18"/>
      <c r="Z473" s="19"/>
      <c r="AB473" s="20"/>
      <c r="AC473" s="15"/>
      <c r="AD473" s="15"/>
    </row>
    <row r="474">
      <c r="F474" s="15"/>
      <c r="G474" s="15"/>
      <c r="H474" s="15"/>
      <c r="K474" s="16"/>
      <c r="R474" s="17"/>
      <c r="S474" s="17"/>
      <c r="T474" s="17"/>
      <c r="U474" s="17"/>
      <c r="V474" s="18"/>
      <c r="W474" s="18"/>
      <c r="X474" s="17"/>
      <c r="Y474" s="18"/>
      <c r="Z474" s="19"/>
      <c r="AB474" s="20"/>
      <c r="AC474" s="15"/>
      <c r="AD474" s="15"/>
    </row>
    <row r="475">
      <c r="F475" s="15"/>
      <c r="G475" s="15"/>
      <c r="H475" s="15"/>
      <c r="K475" s="16"/>
      <c r="R475" s="17"/>
      <c r="S475" s="17"/>
      <c r="T475" s="17"/>
      <c r="U475" s="17"/>
      <c r="V475" s="18"/>
      <c r="W475" s="18"/>
      <c r="X475" s="17"/>
      <c r="Y475" s="18"/>
      <c r="Z475" s="19"/>
      <c r="AB475" s="20"/>
      <c r="AC475" s="15"/>
      <c r="AD475" s="15"/>
    </row>
    <row r="476">
      <c r="F476" s="15"/>
      <c r="G476" s="15"/>
      <c r="H476" s="15"/>
      <c r="K476" s="16"/>
      <c r="R476" s="17"/>
      <c r="S476" s="17"/>
      <c r="T476" s="17"/>
      <c r="U476" s="17"/>
      <c r="V476" s="18"/>
      <c r="W476" s="18"/>
      <c r="X476" s="17"/>
      <c r="Y476" s="18"/>
      <c r="Z476" s="19"/>
      <c r="AB476" s="20"/>
      <c r="AC476" s="15"/>
      <c r="AD476" s="15"/>
    </row>
    <row r="477">
      <c r="F477" s="15"/>
      <c r="G477" s="15"/>
      <c r="H477" s="15"/>
      <c r="K477" s="16"/>
      <c r="R477" s="17"/>
      <c r="S477" s="17"/>
      <c r="T477" s="17"/>
      <c r="U477" s="17"/>
      <c r="V477" s="18"/>
      <c r="W477" s="18"/>
      <c r="X477" s="17"/>
      <c r="Y477" s="18"/>
      <c r="Z477" s="19"/>
      <c r="AB477" s="20"/>
      <c r="AC477" s="15"/>
      <c r="AD477" s="15"/>
    </row>
    <row r="478">
      <c r="F478" s="15"/>
      <c r="G478" s="15"/>
      <c r="H478" s="15"/>
      <c r="K478" s="16"/>
      <c r="R478" s="17"/>
      <c r="S478" s="17"/>
      <c r="T478" s="17"/>
      <c r="U478" s="17"/>
      <c r="V478" s="18"/>
      <c r="W478" s="18"/>
      <c r="X478" s="17"/>
      <c r="Y478" s="18"/>
      <c r="Z478" s="19"/>
      <c r="AB478" s="20"/>
      <c r="AC478" s="15"/>
      <c r="AD478" s="15"/>
    </row>
    <row r="479">
      <c r="F479" s="15"/>
      <c r="G479" s="15"/>
      <c r="H479" s="15"/>
      <c r="K479" s="16"/>
      <c r="R479" s="17"/>
      <c r="S479" s="17"/>
      <c r="T479" s="17"/>
      <c r="U479" s="17"/>
      <c r="V479" s="18"/>
      <c r="W479" s="18"/>
      <c r="X479" s="17"/>
      <c r="Y479" s="18"/>
      <c r="Z479" s="19"/>
      <c r="AB479" s="20"/>
      <c r="AC479" s="15"/>
      <c r="AD479" s="15"/>
    </row>
    <row r="480">
      <c r="F480" s="15"/>
      <c r="G480" s="15"/>
      <c r="H480" s="15"/>
      <c r="K480" s="16"/>
      <c r="R480" s="17"/>
      <c r="S480" s="17"/>
      <c r="T480" s="17"/>
      <c r="U480" s="17"/>
      <c r="V480" s="18"/>
      <c r="W480" s="18"/>
      <c r="X480" s="17"/>
      <c r="Y480" s="18"/>
      <c r="Z480" s="19"/>
      <c r="AB480" s="20"/>
      <c r="AC480" s="15"/>
      <c r="AD480" s="15"/>
    </row>
    <row r="481">
      <c r="F481" s="15"/>
      <c r="G481" s="15"/>
      <c r="H481" s="15"/>
      <c r="K481" s="16"/>
      <c r="R481" s="17"/>
      <c r="S481" s="17"/>
      <c r="T481" s="17"/>
      <c r="U481" s="17"/>
      <c r="V481" s="18"/>
      <c r="W481" s="18"/>
      <c r="X481" s="17"/>
      <c r="Y481" s="18"/>
      <c r="Z481" s="19"/>
      <c r="AB481" s="20"/>
      <c r="AC481" s="15"/>
      <c r="AD481" s="15"/>
    </row>
    <row r="482">
      <c r="F482" s="15"/>
      <c r="G482" s="15"/>
      <c r="H482" s="15"/>
      <c r="K482" s="16"/>
      <c r="R482" s="17"/>
      <c r="S482" s="17"/>
      <c r="T482" s="17"/>
      <c r="U482" s="17"/>
      <c r="V482" s="18"/>
      <c r="W482" s="18"/>
      <c r="X482" s="17"/>
      <c r="Y482" s="18"/>
      <c r="Z482" s="19"/>
      <c r="AB482" s="20"/>
      <c r="AC482" s="15"/>
      <c r="AD482" s="15"/>
    </row>
    <row r="483">
      <c r="F483" s="15"/>
      <c r="G483" s="15"/>
      <c r="H483" s="15"/>
      <c r="K483" s="16"/>
      <c r="R483" s="17"/>
      <c r="S483" s="17"/>
      <c r="T483" s="17"/>
      <c r="U483" s="17"/>
      <c r="V483" s="18"/>
      <c r="W483" s="18"/>
      <c r="X483" s="17"/>
      <c r="Y483" s="18"/>
      <c r="Z483" s="19"/>
      <c r="AB483" s="20"/>
      <c r="AC483" s="15"/>
      <c r="AD483" s="15"/>
    </row>
    <row r="484">
      <c r="F484" s="15"/>
      <c r="G484" s="15"/>
      <c r="H484" s="15"/>
      <c r="K484" s="16"/>
      <c r="R484" s="17"/>
      <c r="S484" s="17"/>
      <c r="T484" s="17"/>
      <c r="U484" s="17"/>
      <c r="V484" s="18"/>
      <c r="W484" s="18"/>
      <c r="X484" s="17"/>
      <c r="Y484" s="18"/>
      <c r="Z484" s="19"/>
      <c r="AB484" s="20"/>
      <c r="AC484" s="15"/>
      <c r="AD484" s="15"/>
    </row>
    <row r="485">
      <c r="F485" s="15"/>
      <c r="G485" s="15"/>
      <c r="H485" s="15"/>
      <c r="K485" s="16"/>
      <c r="R485" s="17"/>
      <c r="S485" s="17"/>
      <c r="T485" s="17"/>
      <c r="U485" s="17"/>
      <c r="V485" s="18"/>
      <c r="W485" s="18"/>
      <c r="X485" s="17"/>
      <c r="Y485" s="18"/>
      <c r="Z485" s="19"/>
      <c r="AB485" s="20"/>
      <c r="AC485" s="15"/>
      <c r="AD485" s="15"/>
    </row>
    <row r="486">
      <c r="F486" s="15"/>
      <c r="G486" s="15"/>
      <c r="H486" s="15"/>
      <c r="K486" s="16"/>
      <c r="R486" s="17"/>
      <c r="S486" s="17"/>
      <c r="T486" s="17"/>
      <c r="U486" s="17"/>
      <c r="V486" s="18"/>
      <c r="W486" s="18"/>
      <c r="X486" s="17"/>
      <c r="Y486" s="18"/>
      <c r="Z486" s="19"/>
      <c r="AB486" s="20"/>
      <c r="AC486" s="15"/>
      <c r="AD486" s="15"/>
    </row>
    <row r="487">
      <c r="F487" s="15"/>
      <c r="G487" s="15"/>
      <c r="H487" s="15"/>
      <c r="K487" s="16"/>
      <c r="R487" s="17"/>
      <c r="S487" s="17"/>
      <c r="T487" s="17"/>
      <c r="U487" s="17"/>
      <c r="V487" s="18"/>
      <c r="W487" s="18"/>
      <c r="X487" s="17"/>
      <c r="Y487" s="18"/>
      <c r="Z487" s="19"/>
      <c r="AB487" s="20"/>
      <c r="AC487" s="15"/>
      <c r="AD487" s="15"/>
    </row>
    <row r="488">
      <c r="F488" s="15"/>
      <c r="G488" s="15"/>
      <c r="H488" s="15"/>
      <c r="K488" s="16"/>
      <c r="R488" s="17"/>
      <c r="S488" s="17"/>
      <c r="T488" s="17"/>
      <c r="U488" s="17"/>
      <c r="V488" s="18"/>
      <c r="W488" s="18"/>
      <c r="X488" s="17"/>
      <c r="Y488" s="18"/>
      <c r="Z488" s="19"/>
      <c r="AB488" s="20"/>
      <c r="AC488" s="15"/>
      <c r="AD488" s="15"/>
    </row>
    <row r="489">
      <c r="F489" s="15"/>
      <c r="G489" s="15"/>
      <c r="H489" s="15"/>
      <c r="K489" s="16"/>
      <c r="R489" s="17"/>
      <c r="S489" s="17"/>
      <c r="T489" s="17"/>
      <c r="U489" s="17"/>
      <c r="V489" s="18"/>
      <c r="W489" s="18"/>
      <c r="X489" s="17"/>
      <c r="Y489" s="18"/>
      <c r="Z489" s="19"/>
      <c r="AB489" s="20"/>
      <c r="AC489" s="15"/>
      <c r="AD489" s="15"/>
    </row>
    <row r="490">
      <c r="F490" s="15"/>
      <c r="G490" s="15"/>
      <c r="H490" s="15"/>
      <c r="K490" s="16"/>
      <c r="R490" s="17"/>
      <c r="S490" s="17"/>
      <c r="T490" s="17"/>
      <c r="U490" s="17"/>
      <c r="V490" s="18"/>
      <c r="W490" s="18"/>
      <c r="X490" s="17"/>
      <c r="Y490" s="18"/>
      <c r="Z490" s="19"/>
      <c r="AB490" s="20"/>
      <c r="AC490" s="15"/>
      <c r="AD490" s="15"/>
    </row>
    <row r="491">
      <c r="F491" s="15"/>
      <c r="G491" s="15"/>
      <c r="H491" s="15"/>
      <c r="K491" s="16"/>
      <c r="R491" s="17"/>
      <c r="S491" s="17"/>
      <c r="T491" s="17"/>
      <c r="U491" s="17"/>
      <c r="V491" s="18"/>
      <c r="W491" s="18"/>
      <c r="X491" s="17"/>
      <c r="Y491" s="18"/>
      <c r="Z491" s="19"/>
      <c r="AB491" s="20"/>
      <c r="AC491" s="15"/>
      <c r="AD491" s="15"/>
    </row>
    <row r="492">
      <c r="F492" s="15"/>
      <c r="G492" s="15"/>
      <c r="H492" s="15"/>
      <c r="K492" s="16"/>
      <c r="R492" s="17"/>
      <c r="S492" s="17"/>
      <c r="T492" s="17"/>
      <c r="U492" s="17"/>
      <c r="V492" s="18"/>
      <c r="W492" s="18"/>
      <c r="X492" s="17"/>
      <c r="Y492" s="18"/>
      <c r="Z492" s="19"/>
      <c r="AB492" s="20"/>
      <c r="AC492" s="15"/>
      <c r="AD492" s="15"/>
    </row>
    <row r="493">
      <c r="F493" s="15"/>
      <c r="G493" s="15"/>
      <c r="H493" s="15"/>
      <c r="K493" s="16"/>
      <c r="R493" s="17"/>
      <c r="S493" s="17"/>
      <c r="T493" s="17"/>
      <c r="U493" s="17"/>
      <c r="V493" s="18"/>
      <c r="W493" s="18"/>
      <c r="X493" s="17"/>
      <c r="Y493" s="18"/>
      <c r="Z493" s="19"/>
      <c r="AB493" s="20"/>
      <c r="AC493" s="15"/>
      <c r="AD493" s="15"/>
    </row>
    <row r="494">
      <c r="F494" s="15"/>
      <c r="G494" s="15"/>
      <c r="H494" s="15"/>
      <c r="K494" s="16"/>
      <c r="R494" s="17"/>
      <c r="S494" s="17"/>
      <c r="T494" s="17"/>
      <c r="U494" s="17"/>
      <c r="V494" s="18"/>
      <c r="W494" s="18"/>
      <c r="X494" s="17"/>
      <c r="Y494" s="18"/>
      <c r="Z494" s="19"/>
      <c r="AB494" s="20"/>
      <c r="AC494" s="15"/>
      <c r="AD494" s="15"/>
    </row>
    <row r="495">
      <c r="F495" s="15"/>
      <c r="G495" s="15"/>
      <c r="H495" s="15"/>
      <c r="K495" s="16"/>
      <c r="R495" s="17"/>
      <c r="S495" s="17"/>
      <c r="T495" s="17"/>
      <c r="U495" s="17"/>
      <c r="V495" s="18"/>
      <c r="W495" s="18"/>
      <c r="X495" s="17"/>
      <c r="Y495" s="18"/>
      <c r="Z495" s="19"/>
      <c r="AB495" s="20"/>
      <c r="AC495" s="15"/>
      <c r="AD495" s="15"/>
    </row>
    <row r="496">
      <c r="F496" s="15"/>
      <c r="G496" s="15"/>
      <c r="H496" s="15"/>
      <c r="K496" s="16"/>
      <c r="R496" s="17"/>
      <c r="S496" s="17"/>
      <c r="T496" s="17"/>
      <c r="U496" s="17"/>
      <c r="V496" s="18"/>
      <c r="W496" s="18"/>
      <c r="X496" s="17"/>
      <c r="Y496" s="18"/>
      <c r="Z496" s="19"/>
      <c r="AB496" s="20"/>
      <c r="AC496" s="15"/>
      <c r="AD496" s="15"/>
    </row>
    <row r="497">
      <c r="F497" s="15"/>
      <c r="G497" s="15"/>
      <c r="H497" s="15"/>
      <c r="K497" s="16"/>
      <c r="R497" s="17"/>
      <c r="S497" s="17"/>
      <c r="T497" s="17"/>
      <c r="U497" s="17"/>
      <c r="V497" s="18"/>
      <c r="W497" s="18"/>
      <c r="X497" s="17"/>
      <c r="Y497" s="18"/>
      <c r="Z497" s="19"/>
      <c r="AB497" s="20"/>
      <c r="AC497" s="15"/>
      <c r="AD497" s="15"/>
    </row>
    <row r="498">
      <c r="F498" s="15"/>
      <c r="G498" s="15"/>
      <c r="H498" s="15"/>
      <c r="K498" s="16"/>
      <c r="R498" s="17"/>
      <c r="S498" s="17"/>
      <c r="T498" s="17"/>
      <c r="U498" s="17"/>
      <c r="V498" s="18"/>
      <c r="W498" s="18"/>
      <c r="X498" s="17"/>
      <c r="Y498" s="18"/>
      <c r="Z498" s="19"/>
      <c r="AB498" s="20"/>
      <c r="AC498" s="15"/>
      <c r="AD498" s="15"/>
    </row>
    <row r="499">
      <c r="F499" s="15"/>
      <c r="G499" s="15"/>
      <c r="H499" s="15"/>
      <c r="K499" s="16"/>
      <c r="R499" s="17"/>
      <c r="S499" s="17"/>
      <c r="T499" s="17"/>
      <c r="U499" s="17"/>
      <c r="V499" s="18"/>
      <c r="W499" s="18"/>
      <c r="X499" s="17"/>
      <c r="Y499" s="18"/>
      <c r="Z499" s="19"/>
      <c r="AB499" s="20"/>
      <c r="AC499" s="15"/>
      <c r="AD499" s="15"/>
    </row>
    <row r="500">
      <c r="F500" s="15"/>
      <c r="G500" s="15"/>
      <c r="H500" s="15"/>
      <c r="K500" s="16"/>
      <c r="R500" s="17"/>
      <c r="S500" s="17"/>
      <c r="T500" s="17"/>
      <c r="U500" s="17"/>
      <c r="V500" s="18"/>
      <c r="W500" s="18"/>
      <c r="X500" s="17"/>
      <c r="Y500" s="18"/>
      <c r="Z500" s="19"/>
      <c r="AB500" s="20"/>
      <c r="AC500" s="15"/>
      <c r="AD500" s="15"/>
    </row>
    <row r="501">
      <c r="F501" s="15"/>
      <c r="G501" s="15"/>
      <c r="H501" s="15"/>
      <c r="K501" s="16"/>
      <c r="R501" s="17"/>
      <c r="S501" s="17"/>
      <c r="T501" s="17"/>
      <c r="U501" s="17"/>
      <c r="V501" s="18"/>
      <c r="W501" s="18"/>
      <c r="X501" s="17"/>
      <c r="Y501" s="18"/>
      <c r="Z501" s="19"/>
      <c r="AB501" s="20"/>
      <c r="AC501" s="15"/>
      <c r="AD501" s="15"/>
    </row>
    <row r="502">
      <c r="F502" s="15"/>
      <c r="G502" s="15"/>
      <c r="H502" s="15"/>
      <c r="K502" s="16"/>
      <c r="R502" s="17"/>
      <c r="S502" s="17"/>
      <c r="T502" s="17"/>
      <c r="U502" s="17"/>
      <c r="V502" s="18"/>
      <c r="W502" s="18"/>
      <c r="X502" s="17"/>
      <c r="Y502" s="18"/>
      <c r="Z502" s="19"/>
      <c r="AB502" s="20"/>
      <c r="AC502" s="15"/>
      <c r="AD502" s="15"/>
    </row>
    <row r="503">
      <c r="F503" s="15"/>
      <c r="G503" s="15"/>
      <c r="H503" s="15"/>
      <c r="K503" s="16"/>
      <c r="R503" s="17"/>
      <c r="S503" s="17"/>
      <c r="T503" s="17"/>
      <c r="U503" s="17"/>
      <c r="V503" s="18"/>
      <c r="W503" s="18"/>
      <c r="X503" s="17"/>
      <c r="Y503" s="18"/>
      <c r="Z503" s="19"/>
      <c r="AB503" s="20"/>
      <c r="AC503" s="15"/>
      <c r="AD503" s="15"/>
    </row>
    <row r="504">
      <c r="F504" s="15"/>
      <c r="G504" s="15"/>
      <c r="H504" s="15"/>
      <c r="K504" s="16"/>
      <c r="R504" s="17"/>
      <c r="S504" s="17"/>
      <c r="T504" s="17"/>
      <c r="U504" s="17"/>
      <c r="V504" s="18"/>
      <c r="W504" s="18"/>
      <c r="X504" s="17"/>
      <c r="Y504" s="18"/>
      <c r="Z504" s="19"/>
      <c r="AB504" s="20"/>
      <c r="AC504" s="15"/>
      <c r="AD504" s="15"/>
    </row>
    <row r="505">
      <c r="F505" s="15"/>
      <c r="G505" s="15"/>
      <c r="H505" s="15"/>
      <c r="K505" s="16"/>
      <c r="R505" s="17"/>
      <c r="S505" s="17"/>
      <c r="T505" s="17"/>
      <c r="U505" s="17"/>
      <c r="V505" s="18"/>
      <c r="W505" s="18"/>
      <c r="X505" s="17"/>
      <c r="Y505" s="18"/>
      <c r="Z505" s="19"/>
      <c r="AB505" s="20"/>
      <c r="AC505" s="15"/>
      <c r="AD505" s="15"/>
    </row>
    <row r="506">
      <c r="F506" s="15"/>
      <c r="G506" s="15"/>
      <c r="H506" s="15"/>
      <c r="K506" s="16"/>
      <c r="R506" s="17"/>
      <c r="S506" s="17"/>
      <c r="T506" s="17"/>
      <c r="U506" s="17"/>
      <c r="V506" s="18"/>
      <c r="W506" s="18"/>
      <c r="X506" s="17"/>
      <c r="Y506" s="18"/>
      <c r="Z506" s="19"/>
      <c r="AB506" s="20"/>
      <c r="AC506" s="15"/>
      <c r="AD506" s="15"/>
    </row>
    <row r="507">
      <c r="F507" s="15"/>
      <c r="G507" s="15"/>
      <c r="H507" s="15"/>
      <c r="K507" s="16"/>
      <c r="R507" s="17"/>
      <c r="S507" s="17"/>
      <c r="T507" s="17"/>
      <c r="U507" s="17"/>
      <c r="V507" s="18"/>
      <c r="W507" s="18"/>
      <c r="X507" s="17"/>
      <c r="Y507" s="18"/>
      <c r="Z507" s="19"/>
      <c r="AB507" s="20"/>
      <c r="AC507" s="15"/>
      <c r="AD507" s="15"/>
    </row>
    <row r="508">
      <c r="F508" s="15"/>
      <c r="G508" s="15"/>
      <c r="H508" s="15"/>
      <c r="K508" s="16"/>
      <c r="R508" s="17"/>
      <c r="S508" s="17"/>
      <c r="T508" s="17"/>
      <c r="U508" s="17"/>
      <c r="V508" s="18"/>
      <c r="W508" s="18"/>
      <c r="X508" s="17"/>
      <c r="Y508" s="18"/>
      <c r="Z508" s="19"/>
      <c r="AB508" s="20"/>
      <c r="AC508" s="15"/>
      <c r="AD508" s="15"/>
    </row>
    <row r="509">
      <c r="F509" s="15"/>
      <c r="G509" s="15"/>
      <c r="H509" s="15"/>
      <c r="K509" s="16"/>
      <c r="R509" s="17"/>
      <c r="S509" s="17"/>
      <c r="T509" s="17"/>
      <c r="U509" s="17"/>
      <c r="V509" s="18"/>
      <c r="W509" s="18"/>
      <c r="X509" s="17"/>
      <c r="Y509" s="18"/>
      <c r="Z509" s="19"/>
      <c r="AB509" s="20"/>
      <c r="AC509" s="15"/>
      <c r="AD509" s="15"/>
    </row>
    <row r="510">
      <c r="F510" s="15"/>
      <c r="G510" s="15"/>
      <c r="H510" s="15"/>
      <c r="K510" s="16"/>
      <c r="R510" s="17"/>
      <c r="S510" s="17"/>
      <c r="T510" s="17"/>
      <c r="U510" s="17"/>
      <c r="V510" s="18"/>
      <c r="W510" s="18"/>
      <c r="X510" s="17"/>
      <c r="Y510" s="18"/>
      <c r="Z510" s="19"/>
      <c r="AB510" s="20"/>
      <c r="AC510" s="15"/>
      <c r="AD510" s="15"/>
    </row>
    <row r="511">
      <c r="F511" s="15"/>
      <c r="G511" s="15"/>
      <c r="H511" s="15"/>
      <c r="K511" s="16"/>
      <c r="R511" s="17"/>
      <c r="S511" s="17"/>
      <c r="T511" s="17"/>
      <c r="U511" s="17"/>
      <c r="V511" s="18"/>
      <c r="W511" s="18"/>
      <c r="X511" s="17"/>
      <c r="Y511" s="18"/>
      <c r="Z511" s="19"/>
      <c r="AB511" s="20"/>
      <c r="AC511" s="15"/>
      <c r="AD511" s="15"/>
    </row>
    <row r="512">
      <c r="F512" s="15"/>
      <c r="G512" s="15"/>
      <c r="H512" s="15"/>
      <c r="K512" s="16"/>
      <c r="R512" s="17"/>
      <c r="S512" s="17"/>
      <c r="T512" s="17"/>
      <c r="U512" s="17"/>
      <c r="V512" s="18"/>
      <c r="W512" s="18"/>
      <c r="X512" s="17"/>
      <c r="Y512" s="18"/>
      <c r="Z512" s="19"/>
      <c r="AB512" s="20"/>
      <c r="AC512" s="15"/>
      <c r="AD512" s="15"/>
    </row>
    <row r="513">
      <c r="F513" s="15"/>
      <c r="G513" s="15"/>
      <c r="H513" s="15"/>
      <c r="K513" s="16"/>
      <c r="R513" s="17"/>
      <c r="S513" s="17"/>
      <c r="T513" s="17"/>
      <c r="U513" s="17"/>
      <c r="V513" s="18"/>
      <c r="W513" s="18"/>
      <c r="X513" s="17"/>
      <c r="Y513" s="18"/>
      <c r="Z513" s="19"/>
      <c r="AB513" s="20"/>
      <c r="AC513" s="15"/>
      <c r="AD513" s="15"/>
    </row>
    <row r="514">
      <c r="F514" s="15"/>
      <c r="G514" s="15"/>
      <c r="H514" s="15"/>
      <c r="K514" s="16"/>
      <c r="R514" s="17"/>
      <c r="S514" s="17"/>
      <c r="T514" s="17"/>
      <c r="U514" s="17"/>
      <c r="V514" s="18"/>
      <c r="W514" s="18"/>
      <c r="X514" s="17"/>
      <c r="Y514" s="18"/>
      <c r="Z514" s="19"/>
      <c r="AB514" s="20"/>
      <c r="AC514" s="15"/>
      <c r="AD514" s="15"/>
    </row>
    <row r="515">
      <c r="F515" s="15"/>
      <c r="G515" s="15"/>
      <c r="H515" s="15"/>
      <c r="K515" s="16"/>
      <c r="R515" s="17"/>
      <c r="S515" s="17"/>
      <c r="T515" s="17"/>
      <c r="U515" s="17"/>
      <c r="V515" s="18"/>
      <c r="W515" s="18"/>
      <c r="X515" s="17"/>
      <c r="Y515" s="18"/>
      <c r="Z515" s="19"/>
      <c r="AB515" s="20"/>
      <c r="AC515" s="15"/>
      <c r="AD515" s="15"/>
    </row>
    <row r="516">
      <c r="F516" s="15"/>
      <c r="G516" s="15"/>
      <c r="H516" s="15"/>
      <c r="K516" s="16"/>
      <c r="R516" s="17"/>
      <c r="S516" s="17"/>
      <c r="T516" s="17"/>
      <c r="U516" s="17"/>
      <c r="V516" s="18"/>
      <c r="W516" s="18"/>
      <c r="X516" s="17"/>
      <c r="Y516" s="18"/>
      <c r="Z516" s="19"/>
      <c r="AB516" s="20"/>
      <c r="AC516" s="15"/>
      <c r="AD516" s="15"/>
    </row>
    <row r="517">
      <c r="F517" s="15"/>
      <c r="G517" s="15"/>
      <c r="H517" s="15"/>
      <c r="K517" s="16"/>
      <c r="R517" s="17"/>
      <c r="S517" s="17"/>
      <c r="T517" s="17"/>
      <c r="U517" s="17"/>
      <c r="V517" s="18"/>
      <c r="W517" s="18"/>
      <c r="X517" s="17"/>
      <c r="Y517" s="18"/>
      <c r="Z517" s="19"/>
      <c r="AB517" s="20"/>
      <c r="AC517" s="15"/>
      <c r="AD517" s="15"/>
    </row>
    <row r="518">
      <c r="F518" s="15"/>
      <c r="G518" s="15"/>
      <c r="H518" s="15"/>
      <c r="K518" s="16"/>
      <c r="R518" s="17"/>
      <c r="S518" s="17"/>
      <c r="T518" s="17"/>
      <c r="U518" s="17"/>
      <c r="V518" s="18"/>
      <c r="W518" s="18"/>
      <c r="X518" s="17"/>
      <c r="Y518" s="18"/>
      <c r="Z518" s="19"/>
      <c r="AB518" s="20"/>
      <c r="AC518" s="15"/>
      <c r="AD518" s="15"/>
    </row>
    <row r="519">
      <c r="F519" s="15"/>
      <c r="G519" s="15"/>
      <c r="H519" s="15"/>
      <c r="K519" s="16"/>
      <c r="R519" s="17"/>
      <c r="S519" s="17"/>
      <c r="T519" s="17"/>
      <c r="U519" s="17"/>
      <c r="V519" s="18"/>
      <c r="W519" s="18"/>
      <c r="X519" s="17"/>
      <c r="Y519" s="18"/>
      <c r="Z519" s="19"/>
      <c r="AB519" s="20"/>
      <c r="AC519" s="15"/>
      <c r="AD519" s="15"/>
    </row>
    <row r="520">
      <c r="F520" s="15"/>
      <c r="G520" s="15"/>
      <c r="H520" s="15"/>
      <c r="K520" s="16"/>
      <c r="R520" s="17"/>
      <c r="S520" s="17"/>
      <c r="T520" s="17"/>
      <c r="U520" s="17"/>
      <c r="V520" s="18"/>
      <c r="W520" s="18"/>
      <c r="X520" s="17"/>
      <c r="Y520" s="18"/>
      <c r="Z520" s="19"/>
      <c r="AB520" s="20"/>
      <c r="AC520" s="15"/>
      <c r="AD520" s="15"/>
    </row>
    <row r="521">
      <c r="F521" s="15"/>
      <c r="G521" s="15"/>
      <c r="H521" s="15"/>
      <c r="K521" s="16"/>
      <c r="R521" s="17"/>
      <c r="S521" s="17"/>
      <c r="T521" s="17"/>
      <c r="U521" s="17"/>
      <c r="V521" s="18"/>
      <c r="W521" s="18"/>
      <c r="X521" s="17"/>
      <c r="Y521" s="18"/>
      <c r="Z521" s="19"/>
      <c r="AB521" s="20"/>
      <c r="AC521" s="15"/>
      <c r="AD521" s="15"/>
    </row>
    <row r="522">
      <c r="F522" s="15"/>
      <c r="G522" s="15"/>
      <c r="H522" s="15"/>
      <c r="K522" s="16"/>
      <c r="R522" s="17"/>
      <c r="S522" s="17"/>
      <c r="T522" s="17"/>
      <c r="U522" s="17"/>
      <c r="V522" s="18"/>
      <c r="W522" s="18"/>
      <c r="X522" s="17"/>
      <c r="Y522" s="18"/>
      <c r="Z522" s="19"/>
      <c r="AB522" s="20"/>
      <c r="AC522" s="15"/>
      <c r="AD522" s="15"/>
    </row>
    <row r="523">
      <c r="F523" s="15"/>
      <c r="G523" s="15"/>
      <c r="H523" s="15"/>
      <c r="K523" s="16"/>
      <c r="R523" s="17"/>
      <c r="S523" s="17"/>
      <c r="T523" s="17"/>
      <c r="U523" s="17"/>
      <c r="V523" s="18"/>
      <c r="W523" s="18"/>
      <c r="X523" s="17"/>
      <c r="Y523" s="18"/>
      <c r="Z523" s="19"/>
      <c r="AB523" s="20"/>
      <c r="AC523" s="15"/>
      <c r="AD523" s="15"/>
    </row>
    <row r="524">
      <c r="F524" s="15"/>
      <c r="G524" s="15"/>
      <c r="H524" s="15"/>
      <c r="K524" s="16"/>
      <c r="R524" s="17"/>
      <c r="S524" s="17"/>
      <c r="T524" s="17"/>
      <c r="U524" s="17"/>
      <c r="V524" s="18"/>
      <c r="W524" s="18"/>
      <c r="X524" s="17"/>
      <c r="Y524" s="18"/>
      <c r="Z524" s="19"/>
      <c r="AB524" s="20"/>
      <c r="AC524" s="15"/>
      <c r="AD524" s="15"/>
    </row>
    <row r="525">
      <c r="F525" s="15"/>
      <c r="G525" s="15"/>
      <c r="H525" s="15"/>
      <c r="K525" s="16"/>
      <c r="R525" s="17"/>
      <c r="S525" s="17"/>
      <c r="T525" s="17"/>
      <c r="U525" s="17"/>
      <c r="V525" s="18"/>
      <c r="W525" s="18"/>
      <c r="X525" s="17"/>
      <c r="Y525" s="18"/>
      <c r="Z525" s="19"/>
      <c r="AB525" s="20"/>
      <c r="AC525" s="15"/>
      <c r="AD525" s="15"/>
    </row>
    <row r="526">
      <c r="F526" s="15"/>
      <c r="G526" s="15"/>
      <c r="H526" s="15"/>
      <c r="K526" s="16"/>
      <c r="R526" s="17"/>
      <c r="S526" s="17"/>
      <c r="T526" s="17"/>
      <c r="U526" s="17"/>
      <c r="V526" s="18"/>
      <c r="W526" s="18"/>
      <c r="X526" s="17"/>
      <c r="Y526" s="18"/>
      <c r="Z526" s="19"/>
      <c r="AB526" s="20"/>
      <c r="AC526" s="15"/>
      <c r="AD526" s="15"/>
    </row>
    <row r="527">
      <c r="F527" s="15"/>
      <c r="G527" s="15"/>
      <c r="H527" s="15"/>
      <c r="K527" s="16"/>
      <c r="R527" s="17"/>
      <c r="S527" s="17"/>
      <c r="T527" s="17"/>
      <c r="U527" s="17"/>
      <c r="V527" s="18"/>
      <c r="W527" s="18"/>
      <c r="X527" s="17"/>
      <c r="Y527" s="18"/>
      <c r="Z527" s="19"/>
      <c r="AB527" s="20"/>
      <c r="AC527" s="15"/>
      <c r="AD527" s="15"/>
    </row>
    <row r="528">
      <c r="F528" s="15"/>
      <c r="G528" s="15"/>
      <c r="H528" s="15"/>
      <c r="K528" s="16"/>
      <c r="R528" s="17"/>
      <c r="S528" s="17"/>
      <c r="T528" s="17"/>
      <c r="U528" s="17"/>
      <c r="V528" s="18"/>
      <c r="W528" s="18"/>
      <c r="X528" s="17"/>
      <c r="Y528" s="18"/>
      <c r="Z528" s="19"/>
      <c r="AB528" s="20"/>
      <c r="AC528" s="15"/>
      <c r="AD528" s="15"/>
    </row>
    <row r="529">
      <c r="F529" s="15"/>
      <c r="G529" s="15"/>
      <c r="H529" s="15"/>
      <c r="K529" s="16"/>
      <c r="R529" s="17"/>
      <c r="S529" s="17"/>
      <c r="T529" s="17"/>
      <c r="U529" s="17"/>
      <c r="V529" s="18"/>
      <c r="W529" s="18"/>
      <c r="X529" s="17"/>
      <c r="Y529" s="18"/>
      <c r="Z529" s="19"/>
      <c r="AB529" s="20"/>
      <c r="AC529" s="15"/>
      <c r="AD529" s="15"/>
    </row>
    <row r="530">
      <c r="F530" s="15"/>
      <c r="G530" s="15"/>
      <c r="H530" s="15"/>
      <c r="K530" s="16"/>
      <c r="R530" s="17"/>
      <c r="S530" s="17"/>
      <c r="T530" s="17"/>
      <c r="U530" s="17"/>
      <c r="V530" s="18"/>
      <c r="W530" s="18"/>
      <c r="X530" s="17"/>
      <c r="Y530" s="18"/>
      <c r="Z530" s="19"/>
      <c r="AB530" s="20"/>
      <c r="AC530" s="15"/>
      <c r="AD530" s="15"/>
    </row>
    <row r="531">
      <c r="F531" s="15"/>
      <c r="G531" s="15"/>
      <c r="H531" s="15"/>
      <c r="K531" s="16"/>
      <c r="R531" s="17"/>
      <c r="S531" s="17"/>
      <c r="T531" s="17"/>
      <c r="U531" s="17"/>
      <c r="V531" s="18"/>
      <c r="W531" s="18"/>
      <c r="X531" s="17"/>
      <c r="Y531" s="18"/>
      <c r="Z531" s="19"/>
      <c r="AB531" s="20"/>
      <c r="AC531" s="15"/>
      <c r="AD531" s="15"/>
    </row>
    <row r="532">
      <c r="F532" s="15"/>
      <c r="G532" s="15"/>
      <c r="H532" s="15"/>
      <c r="K532" s="16"/>
      <c r="R532" s="17"/>
      <c r="S532" s="17"/>
      <c r="T532" s="17"/>
      <c r="U532" s="17"/>
      <c r="V532" s="18"/>
      <c r="W532" s="18"/>
      <c r="X532" s="17"/>
      <c r="Y532" s="18"/>
      <c r="Z532" s="19"/>
      <c r="AB532" s="20"/>
      <c r="AC532" s="15"/>
      <c r="AD532" s="15"/>
    </row>
    <row r="533">
      <c r="F533" s="15"/>
      <c r="G533" s="15"/>
      <c r="H533" s="15"/>
      <c r="K533" s="16"/>
      <c r="R533" s="17"/>
      <c r="S533" s="17"/>
      <c r="T533" s="17"/>
      <c r="U533" s="17"/>
      <c r="V533" s="18"/>
      <c r="W533" s="18"/>
      <c r="X533" s="17"/>
      <c r="Y533" s="18"/>
      <c r="Z533" s="19"/>
      <c r="AB533" s="20"/>
      <c r="AC533" s="15"/>
      <c r="AD533" s="15"/>
    </row>
    <row r="534">
      <c r="F534" s="15"/>
      <c r="G534" s="15"/>
      <c r="H534" s="15"/>
      <c r="K534" s="16"/>
      <c r="R534" s="17"/>
      <c r="S534" s="17"/>
      <c r="T534" s="17"/>
      <c r="U534" s="17"/>
      <c r="V534" s="18"/>
      <c r="W534" s="18"/>
      <c r="X534" s="17"/>
      <c r="Y534" s="18"/>
      <c r="Z534" s="19"/>
      <c r="AB534" s="20"/>
      <c r="AC534" s="15"/>
      <c r="AD534" s="15"/>
    </row>
    <row r="535">
      <c r="F535" s="15"/>
      <c r="G535" s="15"/>
      <c r="H535" s="15"/>
      <c r="K535" s="16"/>
      <c r="R535" s="17"/>
      <c r="S535" s="17"/>
      <c r="T535" s="17"/>
      <c r="U535" s="17"/>
      <c r="V535" s="18"/>
      <c r="W535" s="18"/>
      <c r="X535" s="17"/>
      <c r="Y535" s="18"/>
      <c r="Z535" s="19"/>
      <c r="AB535" s="20"/>
      <c r="AC535" s="15"/>
      <c r="AD535" s="15"/>
    </row>
    <row r="536">
      <c r="F536" s="15"/>
      <c r="G536" s="15"/>
      <c r="H536" s="15"/>
      <c r="K536" s="16"/>
      <c r="R536" s="17"/>
      <c r="S536" s="17"/>
      <c r="T536" s="17"/>
      <c r="U536" s="17"/>
      <c r="V536" s="18"/>
      <c r="W536" s="18"/>
      <c r="X536" s="17"/>
      <c r="Y536" s="18"/>
      <c r="Z536" s="19"/>
      <c r="AB536" s="20"/>
      <c r="AC536" s="15"/>
      <c r="AD536" s="15"/>
    </row>
    <row r="537">
      <c r="F537" s="15"/>
      <c r="G537" s="15"/>
      <c r="H537" s="15"/>
      <c r="K537" s="16"/>
      <c r="R537" s="17"/>
      <c r="S537" s="17"/>
      <c r="T537" s="17"/>
      <c r="U537" s="17"/>
      <c r="V537" s="18"/>
      <c r="W537" s="18"/>
      <c r="X537" s="17"/>
      <c r="Y537" s="18"/>
      <c r="Z537" s="19"/>
      <c r="AB537" s="20"/>
      <c r="AC537" s="15"/>
      <c r="AD537" s="15"/>
    </row>
    <row r="538">
      <c r="F538" s="15"/>
      <c r="G538" s="15"/>
      <c r="H538" s="15"/>
      <c r="K538" s="16"/>
      <c r="R538" s="17"/>
      <c r="S538" s="17"/>
      <c r="T538" s="17"/>
      <c r="U538" s="17"/>
      <c r="V538" s="18"/>
      <c r="W538" s="18"/>
      <c r="X538" s="17"/>
      <c r="Y538" s="18"/>
      <c r="Z538" s="19"/>
      <c r="AB538" s="20"/>
      <c r="AC538" s="15"/>
      <c r="AD538" s="15"/>
    </row>
    <row r="539">
      <c r="F539" s="15"/>
      <c r="G539" s="15"/>
      <c r="H539" s="15"/>
      <c r="K539" s="16"/>
      <c r="R539" s="17"/>
      <c r="S539" s="17"/>
      <c r="T539" s="17"/>
      <c r="U539" s="17"/>
      <c r="V539" s="18"/>
      <c r="W539" s="18"/>
      <c r="X539" s="17"/>
      <c r="Y539" s="18"/>
      <c r="Z539" s="19"/>
      <c r="AB539" s="20"/>
      <c r="AC539" s="15"/>
      <c r="AD539" s="15"/>
    </row>
    <row r="540">
      <c r="F540" s="15"/>
      <c r="G540" s="15"/>
      <c r="H540" s="15"/>
      <c r="K540" s="16"/>
      <c r="R540" s="17"/>
      <c r="S540" s="17"/>
      <c r="T540" s="17"/>
      <c r="U540" s="17"/>
      <c r="V540" s="18"/>
      <c r="W540" s="18"/>
      <c r="X540" s="17"/>
      <c r="Y540" s="18"/>
      <c r="Z540" s="19"/>
      <c r="AB540" s="20"/>
      <c r="AC540" s="15"/>
      <c r="AD540" s="15"/>
    </row>
    <row r="541">
      <c r="F541" s="15"/>
      <c r="G541" s="15"/>
      <c r="H541" s="15"/>
      <c r="K541" s="16"/>
      <c r="R541" s="17"/>
      <c r="S541" s="17"/>
      <c r="T541" s="17"/>
      <c r="U541" s="17"/>
      <c r="V541" s="18"/>
      <c r="W541" s="18"/>
      <c r="X541" s="17"/>
      <c r="Y541" s="18"/>
      <c r="Z541" s="19"/>
      <c r="AB541" s="20"/>
      <c r="AC541" s="15"/>
      <c r="AD541" s="15"/>
    </row>
    <row r="542">
      <c r="F542" s="15"/>
      <c r="G542" s="15"/>
      <c r="H542" s="15"/>
      <c r="K542" s="16"/>
      <c r="R542" s="17"/>
      <c r="S542" s="17"/>
      <c r="T542" s="17"/>
      <c r="U542" s="17"/>
      <c r="V542" s="18"/>
      <c r="W542" s="18"/>
      <c r="X542" s="17"/>
      <c r="Y542" s="18"/>
      <c r="Z542" s="19"/>
      <c r="AB542" s="20"/>
      <c r="AC542" s="15"/>
      <c r="AD542" s="15"/>
    </row>
    <row r="543">
      <c r="F543" s="15"/>
      <c r="G543" s="15"/>
      <c r="H543" s="15"/>
      <c r="K543" s="16"/>
      <c r="R543" s="17"/>
      <c r="S543" s="17"/>
      <c r="T543" s="17"/>
      <c r="U543" s="17"/>
      <c r="V543" s="18"/>
      <c r="W543" s="18"/>
      <c r="X543" s="17"/>
      <c r="Y543" s="18"/>
      <c r="Z543" s="19"/>
      <c r="AB543" s="20"/>
      <c r="AC543" s="15"/>
      <c r="AD543" s="15"/>
    </row>
    <row r="544">
      <c r="F544" s="15"/>
      <c r="G544" s="15"/>
      <c r="H544" s="15"/>
      <c r="K544" s="16"/>
      <c r="R544" s="17"/>
      <c r="S544" s="17"/>
      <c r="T544" s="17"/>
      <c r="U544" s="17"/>
      <c r="V544" s="18"/>
      <c r="W544" s="18"/>
      <c r="X544" s="17"/>
      <c r="Y544" s="18"/>
      <c r="Z544" s="19"/>
      <c r="AB544" s="20"/>
      <c r="AC544" s="15"/>
      <c r="AD544" s="15"/>
    </row>
    <row r="545">
      <c r="F545" s="15"/>
      <c r="G545" s="15"/>
      <c r="H545" s="15"/>
      <c r="K545" s="16"/>
      <c r="R545" s="17"/>
      <c r="S545" s="17"/>
      <c r="T545" s="17"/>
      <c r="U545" s="17"/>
      <c r="V545" s="18"/>
      <c r="W545" s="18"/>
      <c r="X545" s="17"/>
      <c r="Y545" s="18"/>
      <c r="Z545" s="19"/>
      <c r="AB545" s="20"/>
      <c r="AC545" s="15"/>
      <c r="AD545" s="15"/>
    </row>
    <row r="546">
      <c r="F546" s="15"/>
      <c r="G546" s="15"/>
      <c r="H546" s="15"/>
      <c r="K546" s="16"/>
      <c r="R546" s="17"/>
      <c r="S546" s="17"/>
      <c r="T546" s="17"/>
      <c r="U546" s="17"/>
      <c r="V546" s="18"/>
      <c r="W546" s="18"/>
      <c r="X546" s="17"/>
      <c r="Y546" s="18"/>
      <c r="Z546" s="19"/>
      <c r="AB546" s="20"/>
      <c r="AC546" s="15"/>
      <c r="AD546" s="15"/>
    </row>
    <row r="547">
      <c r="F547" s="15"/>
      <c r="G547" s="15"/>
      <c r="H547" s="15"/>
      <c r="K547" s="16"/>
      <c r="R547" s="17"/>
      <c r="S547" s="17"/>
      <c r="T547" s="17"/>
      <c r="U547" s="17"/>
      <c r="V547" s="18"/>
      <c r="W547" s="18"/>
      <c r="X547" s="17"/>
      <c r="Y547" s="18"/>
      <c r="Z547" s="19"/>
      <c r="AB547" s="20"/>
      <c r="AC547" s="15"/>
      <c r="AD547" s="15"/>
    </row>
    <row r="548">
      <c r="F548" s="15"/>
      <c r="G548" s="15"/>
      <c r="H548" s="15"/>
      <c r="K548" s="16"/>
      <c r="R548" s="17"/>
      <c r="S548" s="17"/>
      <c r="T548" s="17"/>
      <c r="U548" s="17"/>
      <c r="V548" s="18"/>
      <c r="W548" s="18"/>
      <c r="X548" s="17"/>
      <c r="Y548" s="18"/>
      <c r="Z548" s="19"/>
      <c r="AB548" s="20"/>
      <c r="AC548" s="15"/>
      <c r="AD548" s="15"/>
    </row>
    <row r="549">
      <c r="F549" s="15"/>
      <c r="G549" s="15"/>
      <c r="H549" s="15"/>
      <c r="K549" s="16"/>
      <c r="R549" s="17"/>
      <c r="S549" s="17"/>
      <c r="T549" s="17"/>
      <c r="U549" s="17"/>
      <c r="V549" s="18"/>
      <c r="W549" s="18"/>
      <c r="X549" s="17"/>
      <c r="Y549" s="18"/>
      <c r="Z549" s="19"/>
      <c r="AB549" s="20"/>
      <c r="AC549" s="15"/>
      <c r="AD549" s="15"/>
    </row>
    <row r="550">
      <c r="F550" s="15"/>
      <c r="G550" s="15"/>
      <c r="H550" s="15"/>
      <c r="K550" s="16"/>
      <c r="R550" s="17"/>
      <c r="S550" s="17"/>
      <c r="T550" s="17"/>
      <c r="U550" s="17"/>
      <c r="V550" s="18"/>
      <c r="W550" s="18"/>
      <c r="X550" s="17"/>
      <c r="Y550" s="18"/>
      <c r="Z550" s="19"/>
      <c r="AB550" s="20"/>
      <c r="AC550" s="15"/>
      <c r="AD550" s="15"/>
    </row>
    <row r="551">
      <c r="F551" s="15"/>
      <c r="G551" s="15"/>
      <c r="H551" s="15"/>
      <c r="K551" s="16"/>
      <c r="R551" s="17"/>
      <c r="S551" s="17"/>
      <c r="T551" s="17"/>
      <c r="U551" s="17"/>
      <c r="V551" s="18"/>
      <c r="W551" s="18"/>
      <c r="X551" s="17"/>
      <c r="Y551" s="18"/>
      <c r="Z551" s="19"/>
      <c r="AB551" s="20"/>
      <c r="AC551" s="15"/>
      <c r="AD551" s="15"/>
    </row>
    <row r="552">
      <c r="F552" s="15"/>
      <c r="G552" s="15"/>
      <c r="H552" s="15"/>
      <c r="K552" s="16"/>
      <c r="R552" s="17"/>
      <c r="S552" s="17"/>
      <c r="T552" s="17"/>
      <c r="U552" s="17"/>
      <c r="V552" s="18"/>
      <c r="W552" s="18"/>
      <c r="X552" s="17"/>
      <c r="Y552" s="18"/>
      <c r="Z552" s="19"/>
      <c r="AB552" s="20"/>
      <c r="AC552" s="15"/>
      <c r="AD552" s="15"/>
    </row>
    <row r="553">
      <c r="F553" s="15"/>
      <c r="G553" s="15"/>
      <c r="H553" s="15"/>
      <c r="K553" s="16"/>
      <c r="R553" s="17"/>
      <c r="S553" s="17"/>
      <c r="T553" s="17"/>
      <c r="U553" s="17"/>
      <c r="V553" s="18"/>
      <c r="W553" s="18"/>
      <c r="X553" s="17"/>
      <c r="Y553" s="18"/>
      <c r="Z553" s="19"/>
      <c r="AB553" s="20"/>
      <c r="AC553" s="15"/>
      <c r="AD553" s="15"/>
    </row>
    <row r="554">
      <c r="F554" s="15"/>
      <c r="G554" s="15"/>
      <c r="H554" s="15"/>
      <c r="K554" s="16"/>
      <c r="R554" s="17"/>
      <c r="S554" s="17"/>
      <c r="T554" s="17"/>
      <c r="U554" s="17"/>
      <c r="V554" s="18"/>
      <c r="W554" s="18"/>
      <c r="X554" s="17"/>
      <c r="Y554" s="18"/>
      <c r="Z554" s="19"/>
      <c r="AB554" s="20"/>
      <c r="AC554" s="15"/>
      <c r="AD554" s="15"/>
    </row>
    <row r="555">
      <c r="F555" s="15"/>
      <c r="G555" s="15"/>
      <c r="H555" s="15"/>
      <c r="K555" s="16"/>
      <c r="R555" s="17"/>
      <c r="S555" s="17"/>
      <c r="T555" s="17"/>
      <c r="U555" s="17"/>
      <c r="V555" s="18"/>
      <c r="W555" s="18"/>
      <c r="X555" s="17"/>
      <c r="Y555" s="18"/>
      <c r="Z555" s="19"/>
      <c r="AB555" s="20"/>
      <c r="AC555" s="15"/>
      <c r="AD555" s="15"/>
    </row>
    <row r="556">
      <c r="F556" s="15"/>
      <c r="G556" s="15"/>
      <c r="H556" s="15"/>
      <c r="K556" s="16"/>
      <c r="R556" s="17"/>
      <c r="S556" s="17"/>
      <c r="T556" s="17"/>
      <c r="U556" s="17"/>
      <c r="V556" s="18"/>
      <c r="W556" s="18"/>
      <c r="X556" s="17"/>
      <c r="Y556" s="18"/>
      <c r="Z556" s="19"/>
      <c r="AB556" s="20"/>
      <c r="AC556" s="15"/>
      <c r="AD556" s="15"/>
    </row>
    <row r="557">
      <c r="F557" s="15"/>
      <c r="G557" s="15"/>
      <c r="H557" s="15"/>
      <c r="K557" s="16"/>
      <c r="R557" s="17"/>
      <c r="S557" s="17"/>
      <c r="T557" s="17"/>
      <c r="U557" s="17"/>
      <c r="V557" s="18"/>
      <c r="W557" s="18"/>
      <c r="X557" s="17"/>
      <c r="Y557" s="18"/>
      <c r="Z557" s="19"/>
      <c r="AB557" s="20"/>
      <c r="AC557" s="15"/>
      <c r="AD557" s="15"/>
    </row>
    <row r="558">
      <c r="F558" s="15"/>
      <c r="G558" s="15"/>
      <c r="H558" s="15"/>
      <c r="K558" s="16"/>
      <c r="R558" s="17"/>
      <c r="S558" s="17"/>
      <c r="T558" s="17"/>
      <c r="U558" s="17"/>
      <c r="V558" s="18"/>
      <c r="W558" s="18"/>
      <c r="X558" s="17"/>
      <c r="Y558" s="18"/>
      <c r="Z558" s="19"/>
      <c r="AB558" s="20"/>
      <c r="AC558" s="15"/>
      <c r="AD558" s="15"/>
    </row>
    <row r="559">
      <c r="F559" s="15"/>
      <c r="G559" s="15"/>
      <c r="H559" s="15"/>
      <c r="K559" s="16"/>
      <c r="R559" s="17"/>
      <c r="S559" s="17"/>
      <c r="T559" s="17"/>
      <c r="U559" s="17"/>
      <c r="V559" s="18"/>
      <c r="W559" s="18"/>
      <c r="X559" s="17"/>
      <c r="Y559" s="18"/>
      <c r="Z559" s="19"/>
      <c r="AB559" s="20"/>
      <c r="AC559" s="15"/>
      <c r="AD559" s="15"/>
    </row>
    <row r="560">
      <c r="F560" s="15"/>
      <c r="G560" s="15"/>
      <c r="H560" s="15"/>
      <c r="K560" s="16"/>
      <c r="R560" s="17"/>
      <c r="S560" s="17"/>
      <c r="T560" s="17"/>
      <c r="U560" s="17"/>
      <c r="V560" s="18"/>
      <c r="W560" s="18"/>
      <c r="X560" s="17"/>
      <c r="Y560" s="18"/>
      <c r="Z560" s="19"/>
      <c r="AB560" s="20"/>
      <c r="AC560" s="15"/>
      <c r="AD560" s="15"/>
    </row>
    <row r="561">
      <c r="F561" s="15"/>
      <c r="G561" s="15"/>
      <c r="H561" s="15"/>
      <c r="K561" s="16"/>
      <c r="R561" s="17"/>
      <c r="S561" s="17"/>
      <c r="T561" s="17"/>
      <c r="U561" s="17"/>
      <c r="V561" s="18"/>
      <c r="W561" s="18"/>
      <c r="X561" s="17"/>
      <c r="Y561" s="18"/>
      <c r="Z561" s="19"/>
      <c r="AB561" s="20"/>
      <c r="AC561" s="15"/>
      <c r="AD561" s="15"/>
    </row>
    <row r="562">
      <c r="F562" s="15"/>
      <c r="G562" s="15"/>
      <c r="H562" s="15"/>
      <c r="K562" s="16"/>
      <c r="R562" s="17"/>
      <c r="S562" s="17"/>
      <c r="T562" s="17"/>
      <c r="U562" s="17"/>
      <c r="V562" s="18"/>
      <c r="W562" s="18"/>
      <c r="X562" s="17"/>
      <c r="Y562" s="18"/>
      <c r="Z562" s="19"/>
      <c r="AB562" s="20"/>
      <c r="AC562" s="15"/>
      <c r="AD562" s="15"/>
    </row>
    <row r="563">
      <c r="F563" s="15"/>
      <c r="G563" s="15"/>
      <c r="H563" s="15"/>
      <c r="K563" s="16"/>
      <c r="R563" s="17"/>
      <c r="S563" s="17"/>
      <c r="T563" s="17"/>
      <c r="U563" s="17"/>
      <c r="V563" s="18"/>
      <c r="W563" s="18"/>
      <c r="X563" s="17"/>
      <c r="Y563" s="18"/>
      <c r="Z563" s="19"/>
      <c r="AB563" s="20"/>
      <c r="AC563" s="15"/>
      <c r="AD563" s="15"/>
    </row>
    <row r="564">
      <c r="F564" s="15"/>
      <c r="G564" s="15"/>
      <c r="H564" s="15"/>
      <c r="K564" s="16"/>
      <c r="R564" s="17"/>
      <c r="S564" s="17"/>
      <c r="T564" s="17"/>
      <c r="U564" s="17"/>
      <c r="V564" s="18"/>
      <c r="W564" s="18"/>
      <c r="X564" s="17"/>
      <c r="Y564" s="18"/>
      <c r="Z564" s="19"/>
      <c r="AB564" s="20"/>
      <c r="AC564" s="15"/>
      <c r="AD564" s="15"/>
    </row>
    <row r="565">
      <c r="F565" s="15"/>
      <c r="G565" s="15"/>
      <c r="H565" s="15"/>
      <c r="K565" s="16"/>
      <c r="R565" s="17"/>
      <c r="S565" s="17"/>
      <c r="T565" s="17"/>
      <c r="U565" s="17"/>
      <c r="V565" s="18"/>
      <c r="W565" s="18"/>
      <c r="X565" s="17"/>
      <c r="Y565" s="18"/>
      <c r="Z565" s="19"/>
      <c r="AB565" s="20"/>
      <c r="AC565" s="15"/>
      <c r="AD565" s="15"/>
    </row>
    <row r="566">
      <c r="F566" s="15"/>
      <c r="G566" s="15"/>
      <c r="H566" s="15"/>
      <c r="K566" s="16"/>
      <c r="R566" s="17"/>
      <c r="S566" s="17"/>
      <c r="T566" s="17"/>
      <c r="U566" s="17"/>
      <c r="V566" s="18"/>
      <c r="W566" s="18"/>
      <c r="X566" s="17"/>
      <c r="Y566" s="18"/>
      <c r="Z566" s="19"/>
      <c r="AB566" s="20"/>
      <c r="AC566" s="15"/>
      <c r="AD566" s="15"/>
    </row>
    <row r="567">
      <c r="F567" s="15"/>
      <c r="G567" s="15"/>
      <c r="H567" s="15"/>
      <c r="K567" s="16"/>
      <c r="R567" s="17"/>
      <c r="S567" s="17"/>
      <c r="T567" s="17"/>
      <c r="U567" s="17"/>
      <c r="V567" s="18"/>
      <c r="W567" s="18"/>
      <c r="X567" s="17"/>
      <c r="Y567" s="18"/>
      <c r="Z567" s="19"/>
      <c r="AB567" s="20"/>
      <c r="AC567" s="15"/>
      <c r="AD567" s="15"/>
    </row>
    <row r="568">
      <c r="F568" s="15"/>
      <c r="G568" s="15"/>
      <c r="H568" s="15"/>
      <c r="K568" s="16"/>
      <c r="R568" s="17"/>
      <c r="S568" s="17"/>
      <c r="T568" s="17"/>
      <c r="U568" s="17"/>
      <c r="V568" s="18"/>
      <c r="W568" s="18"/>
      <c r="X568" s="17"/>
      <c r="Y568" s="18"/>
      <c r="Z568" s="19"/>
      <c r="AB568" s="20"/>
      <c r="AC568" s="15"/>
      <c r="AD568" s="15"/>
    </row>
    <row r="569">
      <c r="F569" s="15"/>
      <c r="G569" s="15"/>
      <c r="H569" s="15"/>
      <c r="K569" s="16"/>
      <c r="R569" s="17"/>
      <c r="S569" s="17"/>
      <c r="T569" s="17"/>
      <c r="U569" s="17"/>
      <c r="V569" s="18"/>
      <c r="W569" s="18"/>
      <c r="X569" s="17"/>
      <c r="Y569" s="18"/>
      <c r="Z569" s="19"/>
      <c r="AB569" s="20"/>
      <c r="AC569" s="15"/>
      <c r="AD569" s="15"/>
    </row>
    <row r="570">
      <c r="F570" s="15"/>
      <c r="G570" s="15"/>
      <c r="H570" s="15"/>
      <c r="K570" s="16"/>
      <c r="R570" s="17"/>
      <c r="S570" s="17"/>
      <c r="T570" s="17"/>
      <c r="U570" s="17"/>
      <c r="V570" s="18"/>
      <c r="W570" s="18"/>
      <c r="X570" s="17"/>
      <c r="Y570" s="18"/>
      <c r="Z570" s="19"/>
      <c r="AB570" s="20"/>
      <c r="AC570" s="15"/>
      <c r="AD570" s="15"/>
    </row>
    <row r="571">
      <c r="F571" s="15"/>
      <c r="G571" s="15"/>
      <c r="H571" s="15"/>
      <c r="K571" s="16"/>
      <c r="R571" s="17"/>
      <c r="S571" s="17"/>
      <c r="T571" s="17"/>
      <c r="U571" s="17"/>
      <c r="V571" s="18"/>
      <c r="W571" s="18"/>
      <c r="X571" s="17"/>
      <c r="Y571" s="18"/>
      <c r="Z571" s="19"/>
      <c r="AB571" s="20"/>
      <c r="AC571" s="15"/>
      <c r="AD571" s="15"/>
    </row>
    <row r="572">
      <c r="F572" s="15"/>
      <c r="G572" s="15"/>
      <c r="H572" s="15"/>
      <c r="K572" s="16"/>
      <c r="R572" s="17"/>
      <c r="S572" s="17"/>
      <c r="T572" s="17"/>
      <c r="U572" s="17"/>
      <c r="V572" s="18"/>
      <c r="W572" s="18"/>
      <c r="X572" s="17"/>
      <c r="Y572" s="18"/>
      <c r="Z572" s="19"/>
      <c r="AB572" s="20"/>
      <c r="AC572" s="15"/>
      <c r="AD572" s="15"/>
    </row>
    <row r="573">
      <c r="F573" s="15"/>
      <c r="G573" s="15"/>
      <c r="H573" s="15"/>
      <c r="K573" s="16"/>
      <c r="R573" s="17"/>
      <c r="S573" s="17"/>
      <c r="T573" s="17"/>
      <c r="U573" s="17"/>
      <c r="V573" s="18"/>
      <c r="W573" s="18"/>
      <c r="X573" s="17"/>
      <c r="Y573" s="18"/>
      <c r="Z573" s="19"/>
      <c r="AB573" s="20"/>
      <c r="AC573" s="15"/>
      <c r="AD573" s="15"/>
    </row>
    <row r="574">
      <c r="F574" s="15"/>
      <c r="G574" s="15"/>
      <c r="H574" s="15"/>
      <c r="K574" s="16"/>
      <c r="R574" s="17"/>
      <c r="S574" s="17"/>
      <c r="T574" s="17"/>
      <c r="U574" s="17"/>
      <c r="V574" s="18"/>
      <c r="W574" s="18"/>
      <c r="X574" s="17"/>
      <c r="Y574" s="18"/>
      <c r="Z574" s="19"/>
      <c r="AB574" s="20"/>
      <c r="AC574" s="15"/>
      <c r="AD574" s="15"/>
    </row>
    <row r="575">
      <c r="F575" s="15"/>
      <c r="G575" s="15"/>
      <c r="H575" s="15"/>
      <c r="K575" s="16"/>
      <c r="R575" s="17"/>
      <c r="S575" s="17"/>
      <c r="T575" s="17"/>
      <c r="U575" s="17"/>
      <c r="V575" s="18"/>
      <c r="W575" s="18"/>
      <c r="X575" s="17"/>
      <c r="Y575" s="18"/>
      <c r="Z575" s="19"/>
      <c r="AB575" s="20"/>
      <c r="AC575" s="15"/>
      <c r="AD575" s="15"/>
    </row>
    <row r="576">
      <c r="F576" s="15"/>
      <c r="G576" s="15"/>
      <c r="H576" s="15"/>
      <c r="K576" s="16"/>
      <c r="R576" s="17"/>
      <c r="S576" s="17"/>
      <c r="T576" s="17"/>
      <c r="U576" s="17"/>
      <c r="V576" s="18"/>
      <c r="W576" s="18"/>
      <c r="X576" s="17"/>
      <c r="Y576" s="18"/>
      <c r="Z576" s="19"/>
      <c r="AB576" s="20"/>
      <c r="AC576" s="15"/>
      <c r="AD576" s="15"/>
    </row>
    <row r="577">
      <c r="F577" s="15"/>
      <c r="G577" s="15"/>
      <c r="H577" s="15"/>
      <c r="K577" s="16"/>
      <c r="R577" s="17"/>
      <c r="S577" s="17"/>
      <c r="T577" s="17"/>
      <c r="U577" s="17"/>
      <c r="V577" s="18"/>
      <c r="W577" s="18"/>
      <c r="X577" s="17"/>
      <c r="Y577" s="18"/>
      <c r="Z577" s="19"/>
      <c r="AB577" s="20"/>
      <c r="AC577" s="15"/>
      <c r="AD577" s="15"/>
    </row>
    <row r="578">
      <c r="F578" s="15"/>
      <c r="G578" s="15"/>
      <c r="H578" s="15"/>
      <c r="K578" s="16"/>
      <c r="R578" s="17"/>
      <c r="S578" s="17"/>
      <c r="T578" s="17"/>
      <c r="U578" s="17"/>
      <c r="V578" s="18"/>
      <c r="W578" s="18"/>
      <c r="X578" s="17"/>
      <c r="Y578" s="18"/>
      <c r="Z578" s="19"/>
      <c r="AB578" s="20"/>
      <c r="AC578" s="15"/>
      <c r="AD578" s="15"/>
    </row>
    <row r="579">
      <c r="F579" s="15"/>
      <c r="G579" s="15"/>
      <c r="H579" s="15"/>
      <c r="K579" s="16"/>
      <c r="R579" s="17"/>
      <c r="S579" s="17"/>
      <c r="T579" s="17"/>
      <c r="U579" s="17"/>
      <c r="V579" s="18"/>
      <c r="W579" s="18"/>
      <c r="X579" s="17"/>
      <c r="Y579" s="18"/>
      <c r="Z579" s="19"/>
      <c r="AB579" s="20"/>
      <c r="AC579" s="15"/>
      <c r="AD579" s="15"/>
    </row>
    <row r="580">
      <c r="F580" s="15"/>
      <c r="G580" s="15"/>
      <c r="H580" s="15"/>
      <c r="K580" s="16"/>
      <c r="R580" s="17"/>
      <c r="S580" s="17"/>
      <c r="T580" s="17"/>
      <c r="U580" s="17"/>
      <c r="V580" s="18"/>
      <c r="W580" s="18"/>
      <c r="X580" s="17"/>
      <c r="Y580" s="18"/>
      <c r="Z580" s="19"/>
      <c r="AB580" s="20"/>
      <c r="AC580" s="15"/>
      <c r="AD580" s="15"/>
    </row>
    <row r="581">
      <c r="F581" s="15"/>
      <c r="G581" s="15"/>
      <c r="H581" s="15"/>
      <c r="K581" s="16"/>
      <c r="R581" s="17"/>
      <c r="S581" s="17"/>
      <c r="T581" s="17"/>
      <c r="U581" s="17"/>
      <c r="V581" s="18"/>
      <c r="W581" s="18"/>
      <c r="X581" s="17"/>
      <c r="Y581" s="18"/>
      <c r="Z581" s="19"/>
      <c r="AB581" s="20"/>
      <c r="AC581" s="15"/>
      <c r="AD581" s="15"/>
    </row>
    <row r="582">
      <c r="F582" s="15"/>
      <c r="G582" s="15"/>
      <c r="H582" s="15"/>
      <c r="K582" s="16"/>
      <c r="R582" s="17"/>
      <c r="S582" s="17"/>
      <c r="T582" s="17"/>
      <c r="U582" s="17"/>
      <c r="V582" s="18"/>
      <c r="W582" s="18"/>
      <c r="X582" s="17"/>
      <c r="Y582" s="18"/>
      <c r="Z582" s="19"/>
      <c r="AB582" s="20"/>
      <c r="AC582" s="15"/>
      <c r="AD582" s="15"/>
    </row>
    <row r="583">
      <c r="F583" s="15"/>
      <c r="G583" s="15"/>
      <c r="H583" s="15"/>
      <c r="K583" s="16"/>
      <c r="R583" s="17"/>
      <c r="S583" s="17"/>
      <c r="T583" s="17"/>
      <c r="U583" s="17"/>
      <c r="V583" s="18"/>
      <c r="W583" s="18"/>
      <c r="X583" s="17"/>
      <c r="Y583" s="18"/>
      <c r="Z583" s="19"/>
      <c r="AB583" s="20"/>
      <c r="AC583" s="15"/>
      <c r="AD583" s="15"/>
    </row>
    <row r="584">
      <c r="F584" s="15"/>
      <c r="G584" s="15"/>
      <c r="H584" s="15"/>
      <c r="K584" s="16"/>
      <c r="R584" s="17"/>
      <c r="S584" s="17"/>
      <c r="T584" s="17"/>
      <c r="U584" s="17"/>
      <c r="V584" s="18"/>
      <c r="W584" s="18"/>
      <c r="X584" s="17"/>
      <c r="Y584" s="18"/>
      <c r="Z584" s="19"/>
      <c r="AB584" s="20"/>
      <c r="AC584" s="15"/>
      <c r="AD584" s="15"/>
    </row>
    <row r="585">
      <c r="F585" s="15"/>
      <c r="G585" s="15"/>
      <c r="H585" s="15"/>
      <c r="K585" s="16"/>
      <c r="R585" s="17"/>
      <c r="S585" s="17"/>
      <c r="T585" s="17"/>
      <c r="U585" s="17"/>
      <c r="V585" s="18"/>
      <c r="W585" s="18"/>
      <c r="X585" s="17"/>
      <c r="Y585" s="18"/>
      <c r="Z585" s="19"/>
      <c r="AB585" s="20"/>
      <c r="AC585" s="15"/>
      <c r="AD585" s="15"/>
    </row>
    <row r="586">
      <c r="F586" s="15"/>
      <c r="G586" s="15"/>
      <c r="H586" s="15"/>
      <c r="K586" s="16"/>
      <c r="R586" s="17"/>
      <c r="S586" s="17"/>
      <c r="T586" s="17"/>
      <c r="U586" s="17"/>
      <c r="V586" s="18"/>
      <c r="W586" s="18"/>
      <c r="X586" s="17"/>
      <c r="Y586" s="18"/>
      <c r="Z586" s="19"/>
      <c r="AB586" s="20"/>
      <c r="AC586" s="15"/>
      <c r="AD586" s="15"/>
    </row>
    <row r="587">
      <c r="F587" s="15"/>
      <c r="G587" s="15"/>
      <c r="H587" s="15"/>
      <c r="K587" s="16"/>
      <c r="R587" s="17"/>
      <c r="S587" s="17"/>
      <c r="T587" s="17"/>
      <c r="U587" s="17"/>
      <c r="V587" s="18"/>
      <c r="W587" s="18"/>
      <c r="X587" s="17"/>
      <c r="Y587" s="18"/>
      <c r="Z587" s="19"/>
      <c r="AB587" s="20"/>
      <c r="AC587" s="15"/>
      <c r="AD587" s="15"/>
    </row>
    <row r="588">
      <c r="F588" s="15"/>
      <c r="G588" s="15"/>
      <c r="H588" s="15"/>
      <c r="K588" s="16"/>
      <c r="R588" s="17"/>
      <c r="S588" s="17"/>
      <c r="T588" s="17"/>
      <c r="U588" s="17"/>
      <c r="V588" s="18"/>
      <c r="W588" s="18"/>
      <c r="X588" s="17"/>
      <c r="Y588" s="18"/>
      <c r="Z588" s="19"/>
      <c r="AB588" s="20"/>
      <c r="AC588" s="15"/>
      <c r="AD588" s="15"/>
    </row>
    <row r="589">
      <c r="F589" s="15"/>
      <c r="G589" s="15"/>
      <c r="H589" s="15"/>
      <c r="K589" s="16"/>
      <c r="R589" s="17"/>
      <c r="S589" s="17"/>
      <c r="T589" s="17"/>
      <c r="U589" s="17"/>
      <c r="V589" s="18"/>
      <c r="W589" s="18"/>
      <c r="X589" s="17"/>
      <c r="Y589" s="18"/>
      <c r="Z589" s="19"/>
      <c r="AB589" s="20"/>
      <c r="AC589" s="15"/>
      <c r="AD589" s="15"/>
    </row>
    <row r="590">
      <c r="F590" s="15"/>
      <c r="G590" s="15"/>
      <c r="H590" s="15"/>
      <c r="K590" s="16"/>
      <c r="R590" s="17"/>
      <c r="S590" s="17"/>
      <c r="T590" s="17"/>
      <c r="U590" s="17"/>
      <c r="V590" s="18"/>
      <c r="W590" s="18"/>
      <c r="X590" s="17"/>
      <c r="Y590" s="18"/>
      <c r="Z590" s="19"/>
      <c r="AB590" s="20"/>
      <c r="AC590" s="15"/>
      <c r="AD590" s="15"/>
    </row>
    <row r="591">
      <c r="F591" s="15"/>
      <c r="G591" s="15"/>
      <c r="H591" s="15"/>
      <c r="K591" s="16"/>
      <c r="R591" s="17"/>
      <c r="S591" s="17"/>
      <c r="T591" s="17"/>
      <c r="U591" s="17"/>
      <c r="V591" s="18"/>
      <c r="W591" s="18"/>
      <c r="X591" s="17"/>
      <c r="Y591" s="18"/>
      <c r="Z591" s="19"/>
      <c r="AB591" s="20"/>
      <c r="AC591" s="15"/>
      <c r="AD591" s="15"/>
    </row>
    <row r="592">
      <c r="F592" s="15"/>
      <c r="G592" s="15"/>
      <c r="H592" s="15"/>
      <c r="K592" s="16"/>
      <c r="R592" s="17"/>
      <c r="S592" s="17"/>
      <c r="T592" s="17"/>
      <c r="U592" s="17"/>
      <c r="V592" s="18"/>
      <c r="W592" s="18"/>
      <c r="X592" s="17"/>
      <c r="Y592" s="18"/>
      <c r="Z592" s="19"/>
      <c r="AB592" s="20"/>
      <c r="AC592" s="15"/>
      <c r="AD592" s="15"/>
    </row>
    <row r="593">
      <c r="F593" s="15"/>
      <c r="G593" s="15"/>
      <c r="H593" s="15"/>
      <c r="K593" s="16"/>
      <c r="R593" s="17"/>
      <c r="S593" s="17"/>
      <c r="T593" s="17"/>
      <c r="U593" s="17"/>
      <c r="V593" s="18"/>
      <c r="W593" s="18"/>
      <c r="X593" s="17"/>
      <c r="Y593" s="18"/>
      <c r="Z593" s="19"/>
      <c r="AB593" s="20"/>
      <c r="AC593" s="15"/>
      <c r="AD593" s="15"/>
    </row>
    <row r="594">
      <c r="F594" s="15"/>
      <c r="G594" s="15"/>
      <c r="H594" s="15"/>
      <c r="K594" s="16"/>
      <c r="R594" s="17"/>
      <c r="S594" s="17"/>
      <c r="T594" s="17"/>
      <c r="U594" s="17"/>
      <c r="V594" s="18"/>
      <c r="W594" s="18"/>
      <c r="X594" s="17"/>
      <c r="Y594" s="18"/>
      <c r="Z594" s="19"/>
      <c r="AB594" s="20"/>
      <c r="AC594" s="15"/>
      <c r="AD594" s="15"/>
    </row>
    <row r="595">
      <c r="F595" s="15"/>
      <c r="G595" s="15"/>
      <c r="H595" s="15"/>
      <c r="K595" s="16"/>
      <c r="R595" s="17"/>
      <c r="S595" s="17"/>
      <c r="T595" s="17"/>
      <c r="U595" s="17"/>
      <c r="V595" s="18"/>
      <c r="W595" s="18"/>
      <c r="X595" s="17"/>
      <c r="Y595" s="18"/>
      <c r="Z595" s="19"/>
      <c r="AB595" s="20"/>
      <c r="AC595" s="15"/>
      <c r="AD595" s="15"/>
    </row>
    <row r="596">
      <c r="F596" s="15"/>
      <c r="G596" s="15"/>
      <c r="H596" s="15"/>
      <c r="K596" s="16"/>
      <c r="R596" s="17"/>
      <c r="S596" s="17"/>
      <c r="T596" s="17"/>
      <c r="U596" s="17"/>
      <c r="V596" s="18"/>
      <c r="W596" s="18"/>
      <c r="X596" s="17"/>
      <c r="Y596" s="18"/>
      <c r="Z596" s="19"/>
      <c r="AB596" s="20"/>
      <c r="AC596" s="15"/>
      <c r="AD596" s="15"/>
    </row>
    <row r="597">
      <c r="F597" s="15"/>
      <c r="G597" s="15"/>
      <c r="H597" s="15"/>
      <c r="K597" s="16"/>
      <c r="R597" s="17"/>
      <c r="S597" s="17"/>
      <c r="T597" s="17"/>
      <c r="U597" s="17"/>
      <c r="V597" s="18"/>
      <c r="W597" s="18"/>
      <c r="X597" s="17"/>
      <c r="Y597" s="18"/>
      <c r="Z597" s="19"/>
      <c r="AB597" s="20"/>
      <c r="AC597" s="15"/>
      <c r="AD597" s="15"/>
    </row>
    <row r="598">
      <c r="F598" s="15"/>
      <c r="G598" s="15"/>
      <c r="H598" s="15"/>
      <c r="K598" s="16"/>
      <c r="R598" s="17"/>
      <c r="S598" s="17"/>
      <c r="T598" s="17"/>
      <c r="U598" s="17"/>
      <c r="V598" s="18"/>
      <c r="W598" s="18"/>
      <c r="X598" s="17"/>
      <c r="Y598" s="18"/>
      <c r="Z598" s="19"/>
      <c r="AB598" s="20"/>
      <c r="AC598" s="15"/>
      <c r="AD598" s="15"/>
    </row>
    <row r="599">
      <c r="F599" s="15"/>
      <c r="G599" s="15"/>
      <c r="H599" s="15"/>
      <c r="K599" s="16"/>
      <c r="R599" s="17"/>
      <c r="S599" s="17"/>
      <c r="T599" s="17"/>
      <c r="U599" s="17"/>
      <c r="V599" s="18"/>
      <c r="W599" s="18"/>
      <c r="X599" s="17"/>
      <c r="Y599" s="18"/>
      <c r="Z599" s="19"/>
      <c r="AB599" s="20"/>
      <c r="AC599" s="15"/>
      <c r="AD599" s="15"/>
    </row>
    <row r="600">
      <c r="F600" s="15"/>
      <c r="G600" s="15"/>
      <c r="H600" s="15"/>
      <c r="K600" s="16"/>
      <c r="R600" s="17"/>
      <c r="S600" s="17"/>
      <c r="T600" s="17"/>
      <c r="U600" s="17"/>
      <c r="V600" s="18"/>
      <c r="W600" s="18"/>
      <c r="X600" s="17"/>
      <c r="Y600" s="18"/>
      <c r="Z600" s="19"/>
      <c r="AB600" s="20"/>
      <c r="AC600" s="15"/>
      <c r="AD600" s="15"/>
    </row>
    <row r="601">
      <c r="F601" s="15"/>
      <c r="G601" s="15"/>
      <c r="H601" s="15"/>
      <c r="K601" s="16"/>
      <c r="R601" s="17"/>
      <c r="S601" s="17"/>
      <c r="T601" s="17"/>
      <c r="U601" s="17"/>
      <c r="V601" s="18"/>
      <c r="W601" s="18"/>
      <c r="X601" s="17"/>
      <c r="Y601" s="18"/>
      <c r="Z601" s="19"/>
      <c r="AB601" s="20"/>
      <c r="AC601" s="15"/>
      <c r="AD601" s="15"/>
    </row>
    <row r="602">
      <c r="F602" s="15"/>
      <c r="G602" s="15"/>
      <c r="H602" s="15"/>
      <c r="K602" s="16"/>
      <c r="R602" s="17"/>
      <c r="S602" s="17"/>
      <c r="T602" s="17"/>
      <c r="U602" s="17"/>
      <c r="V602" s="18"/>
      <c r="W602" s="18"/>
      <c r="X602" s="17"/>
      <c r="Y602" s="18"/>
      <c r="Z602" s="19"/>
      <c r="AB602" s="20"/>
      <c r="AC602" s="15"/>
      <c r="AD602" s="15"/>
    </row>
    <row r="603">
      <c r="F603" s="15"/>
      <c r="G603" s="15"/>
      <c r="H603" s="15"/>
      <c r="K603" s="16"/>
      <c r="R603" s="17"/>
      <c r="S603" s="17"/>
      <c r="T603" s="17"/>
      <c r="U603" s="17"/>
      <c r="V603" s="18"/>
      <c r="W603" s="18"/>
      <c r="X603" s="17"/>
      <c r="Y603" s="18"/>
      <c r="Z603" s="19"/>
      <c r="AB603" s="20"/>
      <c r="AC603" s="15"/>
      <c r="AD603" s="15"/>
    </row>
    <row r="604">
      <c r="F604" s="15"/>
      <c r="G604" s="15"/>
      <c r="H604" s="15"/>
      <c r="K604" s="16"/>
      <c r="R604" s="17"/>
      <c r="S604" s="17"/>
      <c r="T604" s="17"/>
      <c r="U604" s="17"/>
      <c r="V604" s="18"/>
      <c r="W604" s="18"/>
      <c r="X604" s="17"/>
      <c r="Y604" s="18"/>
      <c r="Z604" s="19"/>
      <c r="AB604" s="20"/>
      <c r="AC604" s="15"/>
      <c r="AD604" s="15"/>
    </row>
    <row r="605">
      <c r="F605" s="15"/>
      <c r="G605" s="15"/>
      <c r="H605" s="15"/>
      <c r="K605" s="16"/>
      <c r="R605" s="17"/>
      <c r="S605" s="17"/>
      <c r="T605" s="17"/>
      <c r="U605" s="17"/>
      <c r="V605" s="18"/>
      <c r="W605" s="18"/>
      <c r="X605" s="17"/>
      <c r="Y605" s="18"/>
      <c r="Z605" s="19"/>
      <c r="AB605" s="20"/>
      <c r="AC605" s="15"/>
      <c r="AD605" s="15"/>
    </row>
    <row r="606">
      <c r="F606" s="15"/>
      <c r="G606" s="15"/>
      <c r="H606" s="15"/>
      <c r="K606" s="16"/>
      <c r="R606" s="17"/>
      <c r="S606" s="17"/>
      <c r="T606" s="17"/>
      <c r="U606" s="17"/>
      <c r="V606" s="18"/>
      <c r="W606" s="18"/>
      <c r="X606" s="17"/>
      <c r="Y606" s="18"/>
      <c r="Z606" s="19"/>
      <c r="AB606" s="20"/>
      <c r="AC606" s="15"/>
      <c r="AD606" s="15"/>
    </row>
    <row r="607">
      <c r="F607" s="15"/>
      <c r="G607" s="15"/>
      <c r="H607" s="15"/>
      <c r="K607" s="16"/>
      <c r="R607" s="17"/>
      <c r="S607" s="17"/>
      <c r="T607" s="17"/>
      <c r="U607" s="17"/>
      <c r="V607" s="18"/>
      <c r="W607" s="18"/>
      <c r="X607" s="17"/>
      <c r="Y607" s="18"/>
      <c r="Z607" s="19"/>
      <c r="AB607" s="20"/>
      <c r="AC607" s="15"/>
      <c r="AD607" s="15"/>
    </row>
    <row r="608">
      <c r="F608" s="15"/>
      <c r="G608" s="15"/>
      <c r="H608" s="15"/>
      <c r="K608" s="16"/>
      <c r="R608" s="17"/>
      <c r="S608" s="17"/>
      <c r="T608" s="17"/>
      <c r="U608" s="17"/>
      <c r="V608" s="18"/>
      <c r="W608" s="18"/>
      <c r="X608" s="17"/>
      <c r="Y608" s="18"/>
      <c r="Z608" s="19"/>
      <c r="AB608" s="20"/>
      <c r="AC608" s="15"/>
      <c r="AD608" s="15"/>
    </row>
    <row r="609">
      <c r="F609" s="15"/>
      <c r="G609" s="15"/>
      <c r="H609" s="15"/>
      <c r="K609" s="16"/>
      <c r="R609" s="17"/>
      <c r="S609" s="17"/>
      <c r="T609" s="17"/>
      <c r="U609" s="17"/>
      <c r="V609" s="18"/>
      <c r="W609" s="18"/>
      <c r="X609" s="17"/>
      <c r="Y609" s="18"/>
      <c r="Z609" s="19"/>
      <c r="AB609" s="20"/>
      <c r="AC609" s="15"/>
      <c r="AD609" s="15"/>
    </row>
    <row r="610">
      <c r="F610" s="15"/>
      <c r="G610" s="15"/>
      <c r="H610" s="15"/>
      <c r="K610" s="16"/>
      <c r="R610" s="17"/>
      <c r="S610" s="17"/>
      <c r="T610" s="17"/>
      <c r="U610" s="17"/>
      <c r="V610" s="18"/>
      <c r="W610" s="18"/>
      <c r="X610" s="17"/>
      <c r="Y610" s="18"/>
      <c r="Z610" s="19"/>
      <c r="AB610" s="20"/>
      <c r="AC610" s="15"/>
      <c r="AD610" s="15"/>
    </row>
    <row r="611">
      <c r="F611" s="15"/>
      <c r="G611" s="15"/>
      <c r="H611" s="15"/>
      <c r="K611" s="16"/>
      <c r="R611" s="17"/>
      <c r="S611" s="17"/>
      <c r="T611" s="17"/>
      <c r="U611" s="17"/>
      <c r="V611" s="18"/>
      <c r="W611" s="18"/>
      <c r="X611" s="17"/>
      <c r="Y611" s="18"/>
      <c r="Z611" s="19"/>
      <c r="AB611" s="20"/>
      <c r="AC611" s="15"/>
      <c r="AD611" s="15"/>
    </row>
    <row r="612">
      <c r="F612" s="15"/>
      <c r="G612" s="15"/>
      <c r="H612" s="15"/>
      <c r="K612" s="16"/>
      <c r="R612" s="17"/>
      <c r="S612" s="17"/>
      <c r="T612" s="17"/>
      <c r="U612" s="17"/>
      <c r="V612" s="18"/>
      <c r="W612" s="18"/>
      <c r="X612" s="17"/>
      <c r="Y612" s="18"/>
      <c r="Z612" s="19"/>
      <c r="AB612" s="20"/>
      <c r="AC612" s="15"/>
      <c r="AD612" s="15"/>
    </row>
    <row r="613">
      <c r="F613" s="15"/>
      <c r="G613" s="15"/>
      <c r="H613" s="15"/>
      <c r="K613" s="16"/>
      <c r="R613" s="17"/>
      <c r="S613" s="17"/>
      <c r="T613" s="17"/>
      <c r="U613" s="17"/>
      <c r="V613" s="18"/>
      <c r="W613" s="18"/>
      <c r="X613" s="17"/>
      <c r="Y613" s="18"/>
      <c r="Z613" s="19"/>
      <c r="AB613" s="20"/>
      <c r="AC613" s="15"/>
      <c r="AD613" s="15"/>
    </row>
    <row r="614">
      <c r="F614" s="15"/>
      <c r="G614" s="15"/>
      <c r="H614" s="15"/>
      <c r="K614" s="16"/>
      <c r="R614" s="17"/>
      <c r="S614" s="17"/>
      <c r="T614" s="17"/>
      <c r="U614" s="17"/>
      <c r="V614" s="18"/>
      <c r="W614" s="18"/>
      <c r="X614" s="17"/>
      <c r="Y614" s="18"/>
      <c r="Z614" s="19"/>
      <c r="AB614" s="20"/>
      <c r="AC614" s="15"/>
      <c r="AD614" s="15"/>
    </row>
    <row r="615">
      <c r="F615" s="15"/>
      <c r="G615" s="15"/>
      <c r="H615" s="15"/>
      <c r="K615" s="16"/>
      <c r="R615" s="17"/>
      <c r="S615" s="17"/>
      <c r="T615" s="17"/>
      <c r="U615" s="17"/>
      <c r="V615" s="18"/>
      <c r="W615" s="18"/>
      <c r="X615" s="17"/>
      <c r="Y615" s="18"/>
      <c r="Z615" s="19"/>
      <c r="AB615" s="20"/>
      <c r="AC615" s="15"/>
      <c r="AD615" s="15"/>
    </row>
    <row r="616">
      <c r="F616" s="15"/>
      <c r="G616" s="15"/>
      <c r="H616" s="15"/>
      <c r="K616" s="16"/>
      <c r="R616" s="17"/>
      <c r="S616" s="17"/>
      <c r="T616" s="17"/>
      <c r="U616" s="17"/>
      <c r="V616" s="18"/>
      <c r="W616" s="18"/>
      <c r="X616" s="17"/>
      <c r="Y616" s="18"/>
      <c r="Z616" s="19"/>
      <c r="AB616" s="20"/>
      <c r="AC616" s="15"/>
      <c r="AD616" s="15"/>
    </row>
    <row r="617">
      <c r="F617" s="15"/>
      <c r="G617" s="15"/>
      <c r="H617" s="15"/>
      <c r="K617" s="16"/>
      <c r="R617" s="17"/>
      <c r="S617" s="17"/>
      <c r="T617" s="17"/>
      <c r="U617" s="17"/>
      <c r="V617" s="18"/>
      <c r="W617" s="18"/>
      <c r="X617" s="17"/>
      <c r="Y617" s="18"/>
      <c r="Z617" s="19"/>
      <c r="AB617" s="20"/>
      <c r="AC617" s="15"/>
      <c r="AD617" s="15"/>
    </row>
    <row r="618">
      <c r="F618" s="15"/>
      <c r="G618" s="15"/>
      <c r="H618" s="15"/>
      <c r="K618" s="16"/>
      <c r="R618" s="17"/>
      <c r="S618" s="17"/>
      <c r="T618" s="17"/>
      <c r="U618" s="17"/>
      <c r="V618" s="18"/>
      <c r="W618" s="18"/>
      <c r="X618" s="17"/>
      <c r="Y618" s="18"/>
      <c r="Z618" s="19"/>
      <c r="AB618" s="20"/>
      <c r="AC618" s="15"/>
      <c r="AD618" s="15"/>
    </row>
    <row r="619">
      <c r="F619" s="15"/>
      <c r="G619" s="15"/>
      <c r="H619" s="15"/>
      <c r="K619" s="16"/>
      <c r="R619" s="17"/>
      <c r="S619" s="17"/>
      <c r="T619" s="17"/>
      <c r="U619" s="17"/>
      <c r="V619" s="18"/>
      <c r="W619" s="18"/>
      <c r="X619" s="17"/>
      <c r="Y619" s="18"/>
      <c r="Z619" s="19"/>
      <c r="AB619" s="20"/>
      <c r="AC619" s="15"/>
      <c r="AD619" s="15"/>
    </row>
    <row r="620">
      <c r="F620" s="15"/>
      <c r="G620" s="15"/>
      <c r="H620" s="15"/>
      <c r="K620" s="16"/>
      <c r="R620" s="17"/>
      <c r="S620" s="17"/>
      <c r="T620" s="17"/>
      <c r="U620" s="17"/>
      <c r="V620" s="18"/>
      <c r="W620" s="18"/>
      <c r="X620" s="17"/>
      <c r="Y620" s="18"/>
      <c r="Z620" s="19"/>
      <c r="AB620" s="20"/>
      <c r="AC620" s="15"/>
      <c r="AD620" s="15"/>
    </row>
    <row r="621">
      <c r="F621" s="15"/>
      <c r="G621" s="15"/>
      <c r="H621" s="15"/>
      <c r="K621" s="16"/>
      <c r="R621" s="17"/>
      <c r="S621" s="17"/>
      <c r="T621" s="17"/>
      <c r="U621" s="17"/>
      <c r="V621" s="18"/>
      <c r="W621" s="18"/>
      <c r="X621" s="17"/>
      <c r="Y621" s="18"/>
      <c r="Z621" s="19"/>
      <c r="AB621" s="20"/>
      <c r="AC621" s="15"/>
      <c r="AD621" s="15"/>
    </row>
    <row r="622">
      <c r="F622" s="15"/>
      <c r="G622" s="15"/>
      <c r="H622" s="15"/>
      <c r="K622" s="16"/>
      <c r="R622" s="17"/>
      <c r="S622" s="17"/>
      <c r="T622" s="17"/>
      <c r="U622" s="17"/>
      <c r="V622" s="18"/>
      <c r="W622" s="18"/>
      <c r="X622" s="17"/>
      <c r="Y622" s="18"/>
      <c r="Z622" s="19"/>
      <c r="AB622" s="20"/>
      <c r="AC622" s="15"/>
      <c r="AD622" s="15"/>
    </row>
    <row r="623">
      <c r="F623" s="15"/>
      <c r="G623" s="15"/>
      <c r="H623" s="15"/>
      <c r="K623" s="16"/>
      <c r="R623" s="17"/>
      <c r="S623" s="17"/>
      <c r="T623" s="17"/>
      <c r="U623" s="17"/>
      <c r="V623" s="18"/>
      <c r="W623" s="18"/>
      <c r="X623" s="17"/>
      <c r="Y623" s="18"/>
      <c r="Z623" s="19"/>
      <c r="AB623" s="20"/>
      <c r="AC623" s="15"/>
      <c r="AD623" s="15"/>
    </row>
    <row r="624">
      <c r="F624" s="15"/>
      <c r="G624" s="15"/>
      <c r="H624" s="15"/>
      <c r="K624" s="16"/>
      <c r="R624" s="17"/>
      <c r="S624" s="17"/>
      <c r="T624" s="17"/>
      <c r="U624" s="17"/>
      <c r="V624" s="18"/>
      <c r="W624" s="18"/>
      <c r="X624" s="17"/>
      <c r="Y624" s="18"/>
      <c r="Z624" s="19"/>
      <c r="AB624" s="20"/>
      <c r="AC624" s="15"/>
      <c r="AD624" s="15"/>
    </row>
    <row r="625">
      <c r="F625" s="15"/>
      <c r="G625" s="15"/>
      <c r="H625" s="15"/>
      <c r="K625" s="16"/>
      <c r="R625" s="17"/>
      <c r="S625" s="17"/>
      <c r="T625" s="17"/>
      <c r="U625" s="17"/>
      <c r="V625" s="18"/>
      <c r="W625" s="18"/>
      <c r="X625" s="17"/>
      <c r="Y625" s="18"/>
      <c r="Z625" s="19"/>
      <c r="AB625" s="20"/>
      <c r="AC625" s="15"/>
      <c r="AD625" s="15"/>
    </row>
    <row r="626">
      <c r="F626" s="15"/>
      <c r="G626" s="15"/>
      <c r="H626" s="15"/>
      <c r="K626" s="16"/>
      <c r="R626" s="17"/>
      <c r="S626" s="17"/>
      <c r="T626" s="17"/>
      <c r="U626" s="17"/>
      <c r="V626" s="18"/>
      <c r="W626" s="18"/>
      <c r="X626" s="17"/>
      <c r="Y626" s="18"/>
      <c r="Z626" s="19"/>
      <c r="AB626" s="20"/>
      <c r="AC626" s="15"/>
      <c r="AD626" s="15"/>
    </row>
    <row r="627">
      <c r="F627" s="15"/>
      <c r="G627" s="15"/>
      <c r="H627" s="15"/>
      <c r="K627" s="16"/>
      <c r="R627" s="17"/>
      <c r="S627" s="17"/>
      <c r="T627" s="17"/>
      <c r="U627" s="17"/>
      <c r="V627" s="18"/>
      <c r="W627" s="18"/>
      <c r="X627" s="17"/>
      <c r="Y627" s="18"/>
      <c r="Z627" s="19"/>
      <c r="AB627" s="20"/>
      <c r="AC627" s="15"/>
      <c r="AD627" s="15"/>
    </row>
    <row r="628">
      <c r="F628" s="15"/>
      <c r="G628" s="15"/>
      <c r="H628" s="15"/>
      <c r="K628" s="16"/>
      <c r="R628" s="17"/>
      <c r="S628" s="17"/>
      <c r="T628" s="17"/>
      <c r="U628" s="17"/>
      <c r="V628" s="18"/>
      <c r="W628" s="18"/>
      <c r="X628" s="17"/>
      <c r="Y628" s="18"/>
      <c r="Z628" s="19"/>
      <c r="AB628" s="20"/>
      <c r="AC628" s="15"/>
      <c r="AD628" s="15"/>
    </row>
    <row r="629">
      <c r="F629" s="15"/>
      <c r="G629" s="15"/>
      <c r="H629" s="15"/>
      <c r="K629" s="16"/>
      <c r="R629" s="17"/>
      <c r="S629" s="17"/>
      <c r="T629" s="17"/>
      <c r="U629" s="17"/>
      <c r="V629" s="18"/>
      <c r="W629" s="18"/>
      <c r="X629" s="17"/>
      <c r="Y629" s="18"/>
      <c r="Z629" s="19"/>
      <c r="AB629" s="20"/>
      <c r="AC629" s="15"/>
      <c r="AD629" s="15"/>
    </row>
    <row r="630">
      <c r="F630" s="15"/>
      <c r="G630" s="15"/>
      <c r="H630" s="15"/>
      <c r="K630" s="16"/>
      <c r="R630" s="17"/>
      <c r="S630" s="17"/>
      <c r="T630" s="17"/>
      <c r="U630" s="17"/>
      <c r="V630" s="18"/>
      <c r="W630" s="18"/>
      <c r="X630" s="17"/>
      <c r="Y630" s="18"/>
      <c r="Z630" s="19"/>
      <c r="AB630" s="20"/>
      <c r="AC630" s="15"/>
      <c r="AD630" s="15"/>
    </row>
    <row r="631">
      <c r="F631" s="15"/>
      <c r="G631" s="15"/>
      <c r="H631" s="15"/>
      <c r="K631" s="16"/>
      <c r="R631" s="17"/>
      <c r="S631" s="17"/>
      <c r="T631" s="17"/>
      <c r="U631" s="17"/>
      <c r="V631" s="18"/>
      <c r="W631" s="18"/>
      <c r="X631" s="17"/>
      <c r="Y631" s="18"/>
      <c r="Z631" s="19"/>
      <c r="AB631" s="20"/>
      <c r="AC631" s="15"/>
      <c r="AD631" s="15"/>
    </row>
    <row r="632">
      <c r="F632" s="15"/>
      <c r="G632" s="15"/>
      <c r="H632" s="15"/>
      <c r="K632" s="16"/>
      <c r="R632" s="17"/>
      <c r="S632" s="17"/>
      <c r="T632" s="17"/>
      <c r="U632" s="17"/>
      <c r="V632" s="18"/>
      <c r="W632" s="18"/>
      <c r="X632" s="17"/>
      <c r="Y632" s="18"/>
      <c r="Z632" s="19"/>
      <c r="AB632" s="20"/>
      <c r="AC632" s="15"/>
      <c r="AD632" s="15"/>
    </row>
    <row r="633">
      <c r="F633" s="15"/>
      <c r="G633" s="15"/>
      <c r="H633" s="15"/>
      <c r="K633" s="16"/>
      <c r="R633" s="17"/>
      <c r="S633" s="17"/>
      <c r="T633" s="17"/>
      <c r="U633" s="17"/>
      <c r="V633" s="18"/>
      <c r="W633" s="18"/>
      <c r="X633" s="17"/>
      <c r="Y633" s="18"/>
      <c r="Z633" s="19"/>
      <c r="AB633" s="20"/>
      <c r="AC633" s="15"/>
      <c r="AD633" s="15"/>
    </row>
    <row r="634">
      <c r="F634" s="15"/>
      <c r="G634" s="15"/>
      <c r="H634" s="15"/>
      <c r="K634" s="16"/>
      <c r="R634" s="17"/>
      <c r="S634" s="17"/>
      <c r="T634" s="17"/>
      <c r="U634" s="17"/>
      <c r="V634" s="18"/>
      <c r="W634" s="18"/>
      <c r="X634" s="17"/>
      <c r="Y634" s="18"/>
      <c r="Z634" s="19"/>
      <c r="AB634" s="20"/>
      <c r="AC634" s="15"/>
      <c r="AD634" s="15"/>
    </row>
    <row r="635">
      <c r="F635" s="15"/>
      <c r="G635" s="15"/>
      <c r="H635" s="15"/>
      <c r="K635" s="16"/>
      <c r="R635" s="17"/>
      <c r="S635" s="17"/>
      <c r="T635" s="17"/>
      <c r="U635" s="17"/>
      <c r="V635" s="18"/>
      <c r="W635" s="18"/>
      <c r="X635" s="17"/>
      <c r="Y635" s="18"/>
      <c r="Z635" s="19"/>
      <c r="AB635" s="20"/>
      <c r="AC635" s="15"/>
      <c r="AD635" s="15"/>
    </row>
    <row r="636">
      <c r="F636" s="15"/>
      <c r="G636" s="15"/>
      <c r="H636" s="15"/>
      <c r="K636" s="16"/>
      <c r="R636" s="17"/>
      <c r="S636" s="17"/>
      <c r="T636" s="17"/>
      <c r="U636" s="17"/>
      <c r="V636" s="18"/>
      <c r="W636" s="18"/>
      <c r="X636" s="17"/>
      <c r="Y636" s="18"/>
      <c r="Z636" s="19"/>
      <c r="AB636" s="20"/>
      <c r="AC636" s="15"/>
      <c r="AD636" s="15"/>
    </row>
    <row r="637">
      <c r="F637" s="15"/>
      <c r="G637" s="15"/>
      <c r="H637" s="15"/>
      <c r="K637" s="16"/>
      <c r="R637" s="17"/>
      <c r="S637" s="17"/>
      <c r="T637" s="17"/>
      <c r="U637" s="17"/>
      <c r="V637" s="18"/>
      <c r="W637" s="18"/>
      <c r="X637" s="17"/>
      <c r="Y637" s="18"/>
      <c r="Z637" s="19"/>
      <c r="AB637" s="20"/>
      <c r="AC637" s="15"/>
      <c r="AD637" s="15"/>
    </row>
    <row r="638">
      <c r="F638" s="15"/>
      <c r="G638" s="15"/>
      <c r="H638" s="15"/>
      <c r="K638" s="16"/>
      <c r="R638" s="17"/>
      <c r="S638" s="17"/>
      <c r="T638" s="17"/>
      <c r="U638" s="17"/>
      <c r="V638" s="18"/>
      <c r="W638" s="18"/>
      <c r="X638" s="17"/>
      <c r="Y638" s="18"/>
      <c r="Z638" s="19"/>
      <c r="AB638" s="20"/>
      <c r="AC638" s="15"/>
      <c r="AD638" s="15"/>
    </row>
    <row r="639">
      <c r="F639" s="15"/>
      <c r="G639" s="15"/>
      <c r="H639" s="15"/>
      <c r="K639" s="16"/>
      <c r="R639" s="17"/>
      <c r="S639" s="17"/>
      <c r="T639" s="17"/>
      <c r="U639" s="17"/>
      <c r="V639" s="18"/>
      <c r="W639" s="18"/>
      <c r="X639" s="17"/>
      <c r="Y639" s="18"/>
      <c r="Z639" s="19"/>
      <c r="AB639" s="20"/>
      <c r="AC639" s="15"/>
      <c r="AD639" s="15"/>
    </row>
    <row r="640">
      <c r="F640" s="15"/>
      <c r="G640" s="15"/>
      <c r="H640" s="15"/>
      <c r="K640" s="16"/>
      <c r="R640" s="17"/>
      <c r="S640" s="17"/>
      <c r="T640" s="17"/>
      <c r="U640" s="17"/>
      <c r="V640" s="18"/>
      <c r="W640" s="18"/>
      <c r="X640" s="17"/>
      <c r="Y640" s="18"/>
      <c r="Z640" s="19"/>
      <c r="AB640" s="20"/>
      <c r="AC640" s="15"/>
      <c r="AD640" s="15"/>
    </row>
    <row r="641">
      <c r="F641" s="15"/>
      <c r="G641" s="15"/>
      <c r="H641" s="15"/>
      <c r="K641" s="16"/>
      <c r="R641" s="17"/>
      <c r="S641" s="17"/>
      <c r="T641" s="17"/>
      <c r="U641" s="17"/>
      <c r="V641" s="18"/>
      <c r="W641" s="18"/>
      <c r="X641" s="17"/>
      <c r="Y641" s="18"/>
      <c r="Z641" s="19"/>
      <c r="AB641" s="20"/>
      <c r="AC641" s="15"/>
      <c r="AD641" s="15"/>
    </row>
    <row r="642">
      <c r="F642" s="15"/>
      <c r="G642" s="15"/>
      <c r="H642" s="15"/>
      <c r="K642" s="16"/>
      <c r="R642" s="17"/>
      <c r="S642" s="17"/>
      <c r="T642" s="17"/>
      <c r="U642" s="17"/>
      <c r="V642" s="18"/>
      <c r="W642" s="18"/>
      <c r="X642" s="17"/>
      <c r="Y642" s="18"/>
      <c r="Z642" s="19"/>
      <c r="AB642" s="20"/>
      <c r="AC642" s="15"/>
      <c r="AD642" s="15"/>
    </row>
    <row r="643">
      <c r="F643" s="15"/>
      <c r="G643" s="15"/>
      <c r="H643" s="15"/>
      <c r="K643" s="16"/>
      <c r="R643" s="17"/>
      <c r="S643" s="17"/>
      <c r="T643" s="17"/>
      <c r="U643" s="17"/>
      <c r="V643" s="18"/>
      <c r="W643" s="18"/>
      <c r="X643" s="17"/>
      <c r="Y643" s="18"/>
      <c r="Z643" s="19"/>
      <c r="AB643" s="20"/>
      <c r="AC643" s="15"/>
      <c r="AD643" s="15"/>
    </row>
    <row r="644">
      <c r="F644" s="15"/>
      <c r="G644" s="15"/>
      <c r="H644" s="15"/>
      <c r="K644" s="16"/>
      <c r="R644" s="17"/>
      <c r="S644" s="17"/>
      <c r="T644" s="17"/>
      <c r="U644" s="17"/>
      <c r="V644" s="18"/>
      <c r="W644" s="18"/>
      <c r="X644" s="17"/>
      <c r="Y644" s="18"/>
      <c r="Z644" s="19"/>
      <c r="AB644" s="20"/>
      <c r="AC644" s="15"/>
      <c r="AD644" s="15"/>
    </row>
    <row r="645">
      <c r="F645" s="15"/>
      <c r="G645" s="15"/>
      <c r="H645" s="15"/>
      <c r="K645" s="16"/>
      <c r="R645" s="17"/>
      <c r="S645" s="17"/>
      <c r="T645" s="17"/>
      <c r="U645" s="17"/>
      <c r="V645" s="18"/>
      <c r="W645" s="18"/>
      <c r="X645" s="17"/>
      <c r="Y645" s="18"/>
      <c r="Z645" s="19"/>
      <c r="AB645" s="20"/>
      <c r="AC645" s="15"/>
      <c r="AD645" s="15"/>
    </row>
    <row r="646">
      <c r="F646" s="15"/>
      <c r="G646" s="15"/>
      <c r="H646" s="15"/>
      <c r="K646" s="16"/>
      <c r="R646" s="17"/>
      <c r="S646" s="17"/>
      <c r="T646" s="17"/>
      <c r="U646" s="17"/>
      <c r="V646" s="18"/>
      <c r="W646" s="18"/>
      <c r="X646" s="17"/>
      <c r="Y646" s="18"/>
      <c r="Z646" s="19"/>
      <c r="AB646" s="20"/>
      <c r="AC646" s="15"/>
      <c r="AD646" s="15"/>
    </row>
    <row r="647">
      <c r="F647" s="15"/>
      <c r="G647" s="15"/>
      <c r="H647" s="15"/>
      <c r="K647" s="16"/>
      <c r="R647" s="17"/>
      <c r="S647" s="17"/>
      <c r="T647" s="17"/>
      <c r="U647" s="17"/>
      <c r="V647" s="18"/>
      <c r="W647" s="18"/>
      <c r="X647" s="17"/>
      <c r="Y647" s="18"/>
      <c r="Z647" s="19"/>
      <c r="AB647" s="20"/>
      <c r="AC647" s="15"/>
      <c r="AD647" s="15"/>
    </row>
    <row r="648">
      <c r="F648" s="15"/>
      <c r="G648" s="15"/>
      <c r="H648" s="15"/>
      <c r="K648" s="16"/>
      <c r="R648" s="17"/>
      <c r="S648" s="17"/>
      <c r="T648" s="17"/>
      <c r="U648" s="17"/>
      <c r="V648" s="18"/>
      <c r="W648" s="18"/>
      <c r="X648" s="17"/>
      <c r="Y648" s="18"/>
      <c r="Z648" s="19"/>
      <c r="AB648" s="20"/>
      <c r="AC648" s="15"/>
      <c r="AD648" s="15"/>
    </row>
    <row r="649">
      <c r="F649" s="15"/>
      <c r="G649" s="15"/>
      <c r="H649" s="15"/>
      <c r="K649" s="16"/>
      <c r="R649" s="17"/>
      <c r="S649" s="17"/>
      <c r="T649" s="17"/>
      <c r="U649" s="17"/>
      <c r="V649" s="18"/>
      <c r="W649" s="18"/>
      <c r="X649" s="17"/>
      <c r="Y649" s="18"/>
      <c r="Z649" s="19"/>
      <c r="AB649" s="20"/>
      <c r="AC649" s="15"/>
      <c r="AD649" s="15"/>
    </row>
    <row r="650">
      <c r="F650" s="15"/>
      <c r="G650" s="15"/>
      <c r="H650" s="15"/>
      <c r="K650" s="16"/>
      <c r="R650" s="17"/>
      <c r="S650" s="17"/>
      <c r="T650" s="17"/>
      <c r="U650" s="17"/>
      <c r="V650" s="18"/>
      <c r="W650" s="18"/>
      <c r="X650" s="17"/>
      <c r="Y650" s="18"/>
      <c r="Z650" s="19"/>
      <c r="AB650" s="20"/>
      <c r="AC650" s="15"/>
      <c r="AD650" s="15"/>
    </row>
    <row r="651">
      <c r="F651" s="15"/>
      <c r="G651" s="15"/>
      <c r="H651" s="15"/>
      <c r="K651" s="16"/>
      <c r="R651" s="17"/>
      <c r="S651" s="17"/>
      <c r="T651" s="17"/>
      <c r="U651" s="17"/>
      <c r="V651" s="18"/>
      <c r="W651" s="18"/>
      <c r="X651" s="17"/>
      <c r="Y651" s="18"/>
      <c r="Z651" s="19"/>
      <c r="AB651" s="20"/>
      <c r="AC651" s="15"/>
      <c r="AD651" s="15"/>
    </row>
    <row r="652">
      <c r="F652" s="15"/>
      <c r="G652" s="15"/>
      <c r="H652" s="15"/>
      <c r="K652" s="16"/>
      <c r="R652" s="17"/>
      <c r="S652" s="17"/>
      <c r="T652" s="17"/>
      <c r="U652" s="17"/>
      <c r="V652" s="18"/>
      <c r="W652" s="18"/>
      <c r="X652" s="17"/>
      <c r="Y652" s="18"/>
      <c r="Z652" s="19"/>
      <c r="AB652" s="20"/>
      <c r="AC652" s="15"/>
      <c r="AD652" s="15"/>
    </row>
    <row r="653">
      <c r="F653" s="15"/>
      <c r="G653" s="15"/>
      <c r="H653" s="15"/>
      <c r="K653" s="16"/>
      <c r="R653" s="17"/>
      <c r="S653" s="17"/>
      <c r="T653" s="17"/>
      <c r="U653" s="17"/>
      <c r="V653" s="18"/>
      <c r="W653" s="18"/>
      <c r="X653" s="17"/>
      <c r="Y653" s="18"/>
      <c r="Z653" s="19"/>
      <c r="AB653" s="20"/>
      <c r="AC653" s="15"/>
      <c r="AD653" s="15"/>
    </row>
    <row r="654">
      <c r="F654" s="15"/>
      <c r="G654" s="15"/>
      <c r="H654" s="15"/>
      <c r="K654" s="16"/>
      <c r="R654" s="17"/>
      <c r="S654" s="17"/>
      <c r="T654" s="17"/>
      <c r="U654" s="17"/>
      <c r="V654" s="18"/>
      <c r="W654" s="18"/>
      <c r="X654" s="17"/>
      <c r="Y654" s="18"/>
      <c r="Z654" s="19"/>
      <c r="AB654" s="20"/>
      <c r="AC654" s="15"/>
      <c r="AD654" s="15"/>
    </row>
    <row r="655">
      <c r="F655" s="15"/>
      <c r="G655" s="15"/>
      <c r="H655" s="15"/>
      <c r="K655" s="16"/>
      <c r="R655" s="17"/>
      <c r="S655" s="17"/>
      <c r="T655" s="17"/>
      <c r="U655" s="17"/>
      <c r="V655" s="18"/>
      <c r="W655" s="18"/>
      <c r="X655" s="17"/>
      <c r="Y655" s="18"/>
      <c r="Z655" s="19"/>
      <c r="AB655" s="20"/>
      <c r="AC655" s="15"/>
      <c r="AD655" s="15"/>
    </row>
    <row r="656">
      <c r="F656" s="15"/>
      <c r="G656" s="15"/>
      <c r="H656" s="15"/>
      <c r="K656" s="16"/>
      <c r="R656" s="17"/>
      <c r="S656" s="17"/>
      <c r="T656" s="17"/>
      <c r="U656" s="17"/>
      <c r="V656" s="18"/>
      <c r="W656" s="18"/>
      <c r="X656" s="17"/>
      <c r="Y656" s="18"/>
      <c r="Z656" s="19"/>
      <c r="AB656" s="20"/>
      <c r="AC656" s="15"/>
      <c r="AD656" s="15"/>
    </row>
    <row r="657">
      <c r="F657" s="15"/>
      <c r="G657" s="15"/>
      <c r="H657" s="15"/>
      <c r="K657" s="16"/>
      <c r="R657" s="17"/>
      <c r="S657" s="17"/>
      <c r="T657" s="17"/>
      <c r="U657" s="17"/>
      <c r="V657" s="18"/>
      <c r="W657" s="18"/>
      <c r="X657" s="17"/>
      <c r="Y657" s="18"/>
      <c r="Z657" s="19"/>
      <c r="AB657" s="20"/>
      <c r="AC657" s="15"/>
      <c r="AD657" s="15"/>
    </row>
    <row r="658">
      <c r="F658" s="15"/>
      <c r="G658" s="15"/>
      <c r="H658" s="15"/>
      <c r="K658" s="16"/>
      <c r="R658" s="17"/>
      <c r="S658" s="17"/>
      <c r="T658" s="17"/>
      <c r="U658" s="17"/>
      <c r="V658" s="18"/>
      <c r="W658" s="18"/>
      <c r="X658" s="17"/>
      <c r="Y658" s="18"/>
      <c r="Z658" s="19"/>
      <c r="AB658" s="20"/>
      <c r="AC658" s="15"/>
      <c r="AD658" s="15"/>
    </row>
    <row r="659">
      <c r="F659" s="15"/>
      <c r="G659" s="15"/>
      <c r="H659" s="15"/>
      <c r="K659" s="16"/>
      <c r="R659" s="17"/>
      <c r="S659" s="17"/>
      <c r="T659" s="17"/>
      <c r="U659" s="17"/>
      <c r="V659" s="18"/>
      <c r="W659" s="18"/>
      <c r="X659" s="17"/>
      <c r="Y659" s="18"/>
      <c r="Z659" s="19"/>
      <c r="AB659" s="20"/>
      <c r="AC659" s="15"/>
      <c r="AD659" s="15"/>
    </row>
    <row r="660">
      <c r="F660" s="15"/>
      <c r="G660" s="15"/>
      <c r="H660" s="15"/>
      <c r="K660" s="16"/>
      <c r="R660" s="17"/>
      <c r="S660" s="17"/>
      <c r="T660" s="17"/>
      <c r="U660" s="17"/>
      <c r="V660" s="18"/>
      <c r="W660" s="18"/>
      <c r="X660" s="17"/>
      <c r="Y660" s="18"/>
      <c r="Z660" s="19"/>
      <c r="AB660" s="20"/>
      <c r="AC660" s="15"/>
      <c r="AD660" s="15"/>
    </row>
    <row r="661">
      <c r="F661" s="15"/>
      <c r="G661" s="15"/>
      <c r="H661" s="15"/>
      <c r="K661" s="16"/>
      <c r="R661" s="17"/>
      <c r="S661" s="17"/>
      <c r="T661" s="17"/>
      <c r="U661" s="17"/>
      <c r="V661" s="18"/>
      <c r="W661" s="18"/>
      <c r="X661" s="17"/>
      <c r="Y661" s="18"/>
      <c r="Z661" s="19"/>
      <c r="AB661" s="20"/>
      <c r="AC661" s="15"/>
      <c r="AD661" s="15"/>
    </row>
    <row r="662">
      <c r="F662" s="15"/>
      <c r="G662" s="15"/>
      <c r="H662" s="15"/>
      <c r="K662" s="16"/>
      <c r="R662" s="17"/>
      <c r="S662" s="17"/>
      <c r="T662" s="17"/>
      <c r="U662" s="17"/>
      <c r="V662" s="18"/>
      <c r="W662" s="18"/>
      <c r="X662" s="17"/>
      <c r="Y662" s="18"/>
      <c r="Z662" s="19"/>
      <c r="AB662" s="20"/>
      <c r="AC662" s="15"/>
      <c r="AD662" s="15"/>
    </row>
    <row r="663">
      <c r="F663" s="15"/>
      <c r="G663" s="15"/>
      <c r="H663" s="15"/>
      <c r="K663" s="16"/>
      <c r="R663" s="17"/>
      <c r="S663" s="17"/>
      <c r="T663" s="17"/>
      <c r="U663" s="17"/>
      <c r="V663" s="18"/>
      <c r="W663" s="18"/>
      <c r="X663" s="17"/>
      <c r="Y663" s="18"/>
      <c r="Z663" s="19"/>
      <c r="AB663" s="20"/>
      <c r="AC663" s="15"/>
      <c r="AD663" s="15"/>
    </row>
    <row r="664">
      <c r="F664" s="15"/>
      <c r="G664" s="15"/>
      <c r="H664" s="15"/>
      <c r="K664" s="16"/>
      <c r="R664" s="17"/>
      <c r="S664" s="17"/>
      <c r="T664" s="17"/>
      <c r="U664" s="17"/>
      <c r="V664" s="18"/>
      <c r="W664" s="18"/>
      <c r="X664" s="17"/>
      <c r="Y664" s="18"/>
      <c r="Z664" s="19"/>
      <c r="AB664" s="20"/>
      <c r="AC664" s="15"/>
      <c r="AD664" s="15"/>
    </row>
    <row r="665">
      <c r="F665" s="15"/>
      <c r="G665" s="15"/>
      <c r="H665" s="15"/>
      <c r="K665" s="16"/>
      <c r="R665" s="17"/>
      <c r="S665" s="17"/>
      <c r="T665" s="17"/>
      <c r="U665" s="17"/>
      <c r="V665" s="18"/>
      <c r="W665" s="18"/>
      <c r="X665" s="17"/>
      <c r="Y665" s="18"/>
      <c r="Z665" s="19"/>
      <c r="AB665" s="20"/>
      <c r="AC665" s="15"/>
      <c r="AD665" s="15"/>
    </row>
    <row r="666">
      <c r="F666" s="15"/>
      <c r="G666" s="15"/>
      <c r="H666" s="15"/>
      <c r="K666" s="16"/>
      <c r="R666" s="17"/>
      <c r="S666" s="17"/>
      <c r="T666" s="17"/>
      <c r="U666" s="17"/>
      <c r="V666" s="18"/>
      <c r="W666" s="18"/>
      <c r="X666" s="17"/>
      <c r="Y666" s="18"/>
      <c r="Z666" s="19"/>
      <c r="AB666" s="20"/>
      <c r="AC666" s="15"/>
      <c r="AD666" s="15"/>
    </row>
    <row r="667">
      <c r="F667" s="15"/>
      <c r="G667" s="15"/>
      <c r="H667" s="15"/>
      <c r="K667" s="16"/>
      <c r="R667" s="17"/>
      <c r="S667" s="17"/>
      <c r="T667" s="17"/>
      <c r="U667" s="17"/>
      <c r="V667" s="18"/>
      <c r="W667" s="18"/>
      <c r="X667" s="17"/>
      <c r="Y667" s="18"/>
      <c r="Z667" s="19"/>
      <c r="AB667" s="20"/>
      <c r="AC667" s="15"/>
      <c r="AD667" s="15"/>
    </row>
    <row r="668">
      <c r="F668" s="15"/>
      <c r="G668" s="15"/>
      <c r="H668" s="15"/>
      <c r="K668" s="16"/>
      <c r="R668" s="17"/>
      <c r="S668" s="17"/>
      <c r="T668" s="17"/>
      <c r="U668" s="17"/>
      <c r="V668" s="18"/>
      <c r="W668" s="18"/>
      <c r="X668" s="17"/>
      <c r="Y668" s="18"/>
      <c r="Z668" s="19"/>
      <c r="AB668" s="20"/>
      <c r="AC668" s="15"/>
      <c r="AD668" s="15"/>
    </row>
    <row r="669">
      <c r="F669" s="15"/>
      <c r="G669" s="15"/>
      <c r="H669" s="15"/>
      <c r="K669" s="16"/>
      <c r="R669" s="17"/>
      <c r="S669" s="17"/>
      <c r="T669" s="17"/>
      <c r="U669" s="17"/>
      <c r="V669" s="18"/>
      <c r="W669" s="18"/>
      <c r="X669" s="17"/>
      <c r="Y669" s="18"/>
      <c r="Z669" s="19"/>
      <c r="AB669" s="20"/>
      <c r="AC669" s="15"/>
      <c r="AD669" s="15"/>
    </row>
    <row r="670">
      <c r="F670" s="15"/>
      <c r="G670" s="15"/>
      <c r="H670" s="15"/>
      <c r="K670" s="16"/>
      <c r="R670" s="17"/>
      <c r="S670" s="17"/>
      <c r="T670" s="17"/>
      <c r="U670" s="17"/>
      <c r="V670" s="18"/>
      <c r="W670" s="18"/>
      <c r="X670" s="17"/>
      <c r="Y670" s="18"/>
      <c r="Z670" s="19"/>
      <c r="AB670" s="20"/>
      <c r="AC670" s="15"/>
      <c r="AD670" s="15"/>
    </row>
    <row r="671">
      <c r="F671" s="15"/>
      <c r="G671" s="15"/>
      <c r="H671" s="15"/>
      <c r="K671" s="16"/>
      <c r="R671" s="17"/>
      <c r="S671" s="17"/>
      <c r="T671" s="17"/>
      <c r="U671" s="17"/>
      <c r="V671" s="18"/>
      <c r="W671" s="18"/>
      <c r="X671" s="17"/>
      <c r="Y671" s="18"/>
      <c r="Z671" s="19"/>
      <c r="AB671" s="20"/>
      <c r="AC671" s="15"/>
      <c r="AD671" s="15"/>
    </row>
    <row r="672">
      <c r="F672" s="15"/>
      <c r="G672" s="15"/>
      <c r="H672" s="15"/>
      <c r="K672" s="16"/>
      <c r="R672" s="17"/>
      <c r="S672" s="17"/>
      <c r="T672" s="17"/>
      <c r="U672" s="17"/>
      <c r="V672" s="18"/>
      <c r="W672" s="18"/>
      <c r="X672" s="17"/>
      <c r="Y672" s="18"/>
      <c r="Z672" s="19"/>
      <c r="AB672" s="20"/>
      <c r="AC672" s="15"/>
      <c r="AD672" s="15"/>
    </row>
    <row r="673">
      <c r="F673" s="15"/>
      <c r="G673" s="15"/>
      <c r="H673" s="15"/>
      <c r="K673" s="16"/>
      <c r="R673" s="17"/>
      <c r="S673" s="17"/>
      <c r="T673" s="17"/>
      <c r="U673" s="17"/>
      <c r="V673" s="18"/>
      <c r="W673" s="18"/>
      <c r="X673" s="17"/>
      <c r="Y673" s="18"/>
      <c r="Z673" s="19"/>
      <c r="AB673" s="20"/>
      <c r="AC673" s="15"/>
      <c r="AD673" s="15"/>
    </row>
    <row r="674">
      <c r="F674" s="15"/>
      <c r="G674" s="15"/>
      <c r="H674" s="15"/>
      <c r="K674" s="16"/>
      <c r="R674" s="17"/>
      <c r="S674" s="17"/>
      <c r="T674" s="17"/>
      <c r="U674" s="17"/>
      <c r="V674" s="18"/>
      <c r="W674" s="18"/>
      <c r="X674" s="17"/>
      <c r="Y674" s="18"/>
      <c r="Z674" s="19"/>
      <c r="AB674" s="20"/>
      <c r="AC674" s="15"/>
      <c r="AD674" s="15"/>
    </row>
    <row r="675">
      <c r="F675" s="15"/>
      <c r="G675" s="15"/>
      <c r="H675" s="15"/>
      <c r="K675" s="16"/>
      <c r="R675" s="17"/>
      <c r="S675" s="17"/>
      <c r="T675" s="17"/>
      <c r="U675" s="17"/>
      <c r="V675" s="18"/>
      <c r="W675" s="18"/>
      <c r="X675" s="17"/>
      <c r="Y675" s="18"/>
      <c r="Z675" s="19"/>
      <c r="AB675" s="20"/>
      <c r="AC675" s="15"/>
      <c r="AD675" s="15"/>
    </row>
    <row r="676">
      <c r="F676" s="15"/>
      <c r="G676" s="15"/>
      <c r="H676" s="15"/>
      <c r="K676" s="16"/>
      <c r="R676" s="17"/>
      <c r="S676" s="17"/>
      <c r="T676" s="17"/>
      <c r="U676" s="17"/>
      <c r="V676" s="18"/>
      <c r="W676" s="18"/>
      <c r="X676" s="17"/>
      <c r="Y676" s="18"/>
      <c r="Z676" s="19"/>
      <c r="AB676" s="20"/>
      <c r="AC676" s="15"/>
      <c r="AD676" s="15"/>
    </row>
    <row r="677">
      <c r="F677" s="15"/>
      <c r="G677" s="15"/>
      <c r="H677" s="15"/>
      <c r="K677" s="16"/>
      <c r="R677" s="17"/>
      <c r="S677" s="17"/>
      <c r="T677" s="17"/>
      <c r="U677" s="17"/>
      <c r="V677" s="18"/>
      <c r="W677" s="18"/>
      <c r="X677" s="17"/>
      <c r="Y677" s="18"/>
      <c r="Z677" s="19"/>
      <c r="AB677" s="20"/>
      <c r="AC677" s="15"/>
      <c r="AD677" s="15"/>
    </row>
    <row r="678">
      <c r="F678" s="15"/>
      <c r="G678" s="15"/>
      <c r="H678" s="15"/>
      <c r="K678" s="16"/>
      <c r="R678" s="17"/>
      <c r="S678" s="17"/>
      <c r="T678" s="17"/>
      <c r="U678" s="17"/>
      <c r="V678" s="18"/>
      <c r="W678" s="18"/>
      <c r="X678" s="17"/>
      <c r="Y678" s="18"/>
      <c r="Z678" s="19"/>
      <c r="AB678" s="20"/>
      <c r="AC678" s="15"/>
      <c r="AD678" s="15"/>
    </row>
    <row r="679">
      <c r="F679" s="15"/>
      <c r="G679" s="15"/>
      <c r="H679" s="15"/>
      <c r="K679" s="16"/>
      <c r="R679" s="17"/>
      <c r="S679" s="17"/>
      <c r="T679" s="17"/>
      <c r="U679" s="17"/>
      <c r="V679" s="18"/>
      <c r="W679" s="18"/>
      <c r="X679" s="17"/>
      <c r="Y679" s="18"/>
      <c r="Z679" s="19"/>
      <c r="AB679" s="20"/>
      <c r="AC679" s="15"/>
      <c r="AD679" s="15"/>
    </row>
    <row r="680">
      <c r="F680" s="15"/>
      <c r="G680" s="15"/>
      <c r="H680" s="15"/>
      <c r="K680" s="16"/>
      <c r="R680" s="17"/>
      <c r="S680" s="17"/>
      <c r="T680" s="17"/>
      <c r="U680" s="17"/>
      <c r="V680" s="18"/>
      <c r="W680" s="18"/>
      <c r="X680" s="17"/>
      <c r="Y680" s="18"/>
      <c r="Z680" s="19"/>
      <c r="AB680" s="20"/>
      <c r="AC680" s="15"/>
      <c r="AD680" s="15"/>
    </row>
    <row r="681">
      <c r="F681" s="15"/>
      <c r="G681" s="15"/>
      <c r="H681" s="15"/>
      <c r="K681" s="16"/>
      <c r="R681" s="17"/>
      <c r="S681" s="17"/>
      <c r="T681" s="17"/>
      <c r="U681" s="17"/>
      <c r="V681" s="18"/>
      <c r="W681" s="18"/>
      <c r="X681" s="17"/>
      <c r="Y681" s="18"/>
      <c r="Z681" s="19"/>
      <c r="AB681" s="20"/>
      <c r="AC681" s="15"/>
      <c r="AD681" s="15"/>
    </row>
    <row r="682">
      <c r="F682" s="15"/>
      <c r="G682" s="15"/>
      <c r="H682" s="15"/>
      <c r="K682" s="16"/>
      <c r="R682" s="17"/>
      <c r="S682" s="17"/>
      <c r="T682" s="17"/>
      <c r="U682" s="17"/>
      <c r="V682" s="18"/>
      <c r="W682" s="18"/>
      <c r="X682" s="17"/>
      <c r="Y682" s="18"/>
      <c r="Z682" s="19"/>
      <c r="AB682" s="20"/>
      <c r="AC682" s="15"/>
      <c r="AD682" s="15"/>
    </row>
    <row r="683">
      <c r="F683" s="15"/>
      <c r="G683" s="15"/>
      <c r="H683" s="15"/>
      <c r="K683" s="16"/>
      <c r="R683" s="17"/>
      <c r="S683" s="17"/>
      <c r="T683" s="17"/>
      <c r="U683" s="17"/>
      <c r="V683" s="18"/>
      <c r="W683" s="18"/>
      <c r="X683" s="17"/>
      <c r="Y683" s="18"/>
      <c r="Z683" s="19"/>
      <c r="AB683" s="20"/>
      <c r="AC683" s="15"/>
      <c r="AD683" s="15"/>
    </row>
    <row r="684">
      <c r="F684" s="15"/>
      <c r="G684" s="15"/>
      <c r="H684" s="15"/>
      <c r="K684" s="16"/>
      <c r="R684" s="17"/>
      <c r="S684" s="17"/>
      <c r="T684" s="17"/>
      <c r="U684" s="17"/>
      <c r="V684" s="18"/>
      <c r="W684" s="18"/>
      <c r="X684" s="17"/>
      <c r="Y684" s="18"/>
      <c r="Z684" s="19"/>
      <c r="AB684" s="20"/>
      <c r="AC684" s="15"/>
      <c r="AD684" s="15"/>
    </row>
    <row r="685">
      <c r="F685" s="15"/>
      <c r="G685" s="15"/>
      <c r="H685" s="15"/>
      <c r="K685" s="16"/>
      <c r="R685" s="17"/>
      <c r="S685" s="17"/>
      <c r="T685" s="17"/>
      <c r="U685" s="17"/>
      <c r="V685" s="18"/>
      <c r="W685" s="18"/>
      <c r="X685" s="17"/>
      <c r="Y685" s="18"/>
      <c r="Z685" s="19"/>
      <c r="AB685" s="20"/>
      <c r="AC685" s="15"/>
      <c r="AD685" s="15"/>
    </row>
    <row r="686">
      <c r="F686" s="15"/>
      <c r="G686" s="15"/>
      <c r="H686" s="15"/>
      <c r="K686" s="16"/>
      <c r="R686" s="17"/>
      <c r="S686" s="17"/>
      <c r="T686" s="17"/>
      <c r="U686" s="17"/>
      <c r="V686" s="18"/>
      <c r="W686" s="18"/>
      <c r="X686" s="17"/>
      <c r="Y686" s="18"/>
      <c r="Z686" s="19"/>
      <c r="AB686" s="20"/>
      <c r="AC686" s="15"/>
      <c r="AD686" s="15"/>
    </row>
    <row r="687">
      <c r="F687" s="15"/>
      <c r="G687" s="15"/>
      <c r="H687" s="15"/>
      <c r="K687" s="16"/>
      <c r="R687" s="17"/>
      <c r="S687" s="17"/>
      <c r="T687" s="17"/>
      <c r="U687" s="17"/>
      <c r="V687" s="18"/>
      <c r="W687" s="18"/>
      <c r="X687" s="17"/>
      <c r="Y687" s="18"/>
      <c r="Z687" s="19"/>
      <c r="AB687" s="20"/>
      <c r="AC687" s="15"/>
      <c r="AD687" s="15"/>
    </row>
    <row r="688">
      <c r="F688" s="15"/>
      <c r="G688" s="15"/>
      <c r="H688" s="15"/>
      <c r="K688" s="16"/>
      <c r="R688" s="17"/>
      <c r="S688" s="17"/>
      <c r="T688" s="17"/>
      <c r="U688" s="17"/>
      <c r="V688" s="18"/>
      <c r="W688" s="18"/>
      <c r="X688" s="17"/>
      <c r="Y688" s="18"/>
      <c r="Z688" s="19"/>
      <c r="AB688" s="20"/>
      <c r="AC688" s="15"/>
      <c r="AD688" s="15"/>
    </row>
    <row r="689">
      <c r="F689" s="15"/>
      <c r="G689" s="15"/>
      <c r="H689" s="15"/>
      <c r="K689" s="16"/>
      <c r="R689" s="17"/>
      <c r="S689" s="17"/>
      <c r="T689" s="17"/>
      <c r="U689" s="17"/>
      <c r="V689" s="18"/>
      <c r="W689" s="18"/>
      <c r="X689" s="17"/>
      <c r="Y689" s="18"/>
      <c r="Z689" s="19"/>
      <c r="AB689" s="20"/>
      <c r="AC689" s="15"/>
      <c r="AD689" s="15"/>
    </row>
    <row r="690">
      <c r="F690" s="15"/>
      <c r="G690" s="15"/>
      <c r="H690" s="15"/>
      <c r="K690" s="16"/>
      <c r="R690" s="17"/>
      <c r="S690" s="17"/>
      <c r="T690" s="17"/>
      <c r="U690" s="17"/>
      <c r="V690" s="18"/>
      <c r="W690" s="18"/>
      <c r="X690" s="17"/>
      <c r="Y690" s="18"/>
      <c r="Z690" s="19"/>
      <c r="AB690" s="20"/>
      <c r="AC690" s="15"/>
      <c r="AD690" s="15"/>
    </row>
    <row r="691">
      <c r="F691" s="15"/>
      <c r="G691" s="15"/>
      <c r="H691" s="15"/>
      <c r="K691" s="16"/>
      <c r="R691" s="17"/>
      <c r="S691" s="17"/>
      <c r="T691" s="17"/>
      <c r="U691" s="17"/>
      <c r="V691" s="18"/>
      <c r="W691" s="18"/>
      <c r="X691" s="17"/>
      <c r="Y691" s="18"/>
      <c r="Z691" s="19"/>
      <c r="AB691" s="20"/>
      <c r="AC691" s="15"/>
      <c r="AD691" s="15"/>
    </row>
    <row r="692">
      <c r="F692" s="15"/>
      <c r="G692" s="15"/>
      <c r="H692" s="15"/>
      <c r="K692" s="16"/>
      <c r="R692" s="17"/>
      <c r="S692" s="17"/>
      <c r="T692" s="17"/>
      <c r="U692" s="17"/>
      <c r="V692" s="18"/>
      <c r="W692" s="18"/>
      <c r="X692" s="17"/>
      <c r="Y692" s="18"/>
      <c r="Z692" s="19"/>
      <c r="AB692" s="20"/>
      <c r="AC692" s="15"/>
      <c r="AD692" s="15"/>
    </row>
    <row r="693">
      <c r="F693" s="15"/>
      <c r="G693" s="15"/>
      <c r="H693" s="15"/>
      <c r="K693" s="16"/>
      <c r="R693" s="17"/>
      <c r="S693" s="17"/>
      <c r="T693" s="17"/>
      <c r="U693" s="17"/>
      <c r="V693" s="18"/>
      <c r="W693" s="18"/>
      <c r="X693" s="17"/>
      <c r="Y693" s="18"/>
      <c r="Z693" s="19"/>
      <c r="AB693" s="20"/>
      <c r="AC693" s="15"/>
      <c r="AD693" s="15"/>
    </row>
    <row r="694">
      <c r="F694" s="15"/>
      <c r="G694" s="15"/>
      <c r="H694" s="15"/>
      <c r="K694" s="16"/>
      <c r="R694" s="17"/>
      <c r="S694" s="17"/>
      <c r="T694" s="17"/>
      <c r="U694" s="17"/>
      <c r="V694" s="18"/>
      <c r="W694" s="18"/>
      <c r="X694" s="17"/>
      <c r="Y694" s="18"/>
      <c r="Z694" s="19"/>
      <c r="AB694" s="20"/>
      <c r="AC694" s="15"/>
      <c r="AD694" s="15"/>
    </row>
    <row r="695">
      <c r="F695" s="15"/>
      <c r="G695" s="15"/>
      <c r="H695" s="15"/>
      <c r="K695" s="16"/>
      <c r="R695" s="17"/>
      <c r="S695" s="17"/>
      <c r="T695" s="17"/>
      <c r="U695" s="17"/>
      <c r="V695" s="18"/>
      <c r="W695" s="18"/>
      <c r="X695" s="17"/>
      <c r="Y695" s="18"/>
      <c r="Z695" s="19"/>
      <c r="AB695" s="20"/>
      <c r="AC695" s="15"/>
      <c r="AD695" s="15"/>
    </row>
    <row r="696">
      <c r="F696" s="15"/>
      <c r="G696" s="15"/>
      <c r="H696" s="15"/>
      <c r="K696" s="16"/>
      <c r="R696" s="17"/>
      <c r="S696" s="17"/>
      <c r="T696" s="17"/>
      <c r="U696" s="17"/>
      <c r="V696" s="18"/>
      <c r="W696" s="18"/>
      <c r="X696" s="17"/>
      <c r="Y696" s="18"/>
      <c r="Z696" s="19"/>
      <c r="AB696" s="20"/>
      <c r="AC696" s="15"/>
      <c r="AD696" s="15"/>
    </row>
    <row r="697">
      <c r="F697" s="15"/>
      <c r="G697" s="15"/>
      <c r="H697" s="15"/>
      <c r="K697" s="16"/>
      <c r="R697" s="17"/>
      <c r="S697" s="17"/>
      <c r="T697" s="17"/>
      <c r="U697" s="17"/>
      <c r="V697" s="18"/>
      <c r="W697" s="18"/>
      <c r="X697" s="17"/>
      <c r="Y697" s="18"/>
      <c r="Z697" s="19"/>
      <c r="AB697" s="20"/>
      <c r="AC697" s="15"/>
      <c r="AD697" s="15"/>
    </row>
    <row r="698">
      <c r="F698" s="15"/>
      <c r="G698" s="15"/>
      <c r="H698" s="15"/>
      <c r="K698" s="16"/>
      <c r="R698" s="17"/>
      <c r="S698" s="17"/>
      <c r="T698" s="17"/>
      <c r="U698" s="17"/>
      <c r="V698" s="18"/>
      <c r="W698" s="18"/>
      <c r="X698" s="17"/>
      <c r="Y698" s="18"/>
      <c r="Z698" s="19"/>
      <c r="AB698" s="20"/>
      <c r="AC698" s="15"/>
      <c r="AD698" s="15"/>
    </row>
    <row r="699">
      <c r="F699" s="15"/>
      <c r="G699" s="15"/>
      <c r="H699" s="15"/>
      <c r="K699" s="16"/>
      <c r="R699" s="17"/>
      <c r="S699" s="17"/>
      <c r="T699" s="17"/>
      <c r="U699" s="17"/>
      <c r="V699" s="18"/>
      <c r="W699" s="18"/>
      <c r="X699" s="17"/>
      <c r="Y699" s="18"/>
      <c r="Z699" s="19"/>
      <c r="AB699" s="20"/>
      <c r="AC699" s="15"/>
      <c r="AD699" s="15"/>
    </row>
    <row r="700">
      <c r="F700" s="15"/>
      <c r="G700" s="15"/>
      <c r="H700" s="15"/>
      <c r="K700" s="16"/>
      <c r="R700" s="17"/>
      <c r="S700" s="17"/>
      <c r="T700" s="17"/>
      <c r="U700" s="17"/>
      <c r="V700" s="18"/>
      <c r="W700" s="18"/>
      <c r="X700" s="17"/>
      <c r="Y700" s="18"/>
      <c r="Z700" s="19"/>
      <c r="AB700" s="20"/>
      <c r="AC700" s="15"/>
      <c r="AD700" s="15"/>
    </row>
    <row r="701">
      <c r="F701" s="15"/>
      <c r="G701" s="15"/>
      <c r="H701" s="15"/>
      <c r="K701" s="16"/>
      <c r="R701" s="17"/>
      <c r="S701" s="17"/>
      <c r="T701" s="17"/>
      <c r="U701" s="17"/>
      <c r="V701" s="18"/>
      <c r="W701" s="18"/>
      <c r="X701" s="17"/>
      <c r="Y701" s="18"/>
      <c r="Z701" s="19"/>
      <c r="AB701" s="20"/>
      <c r="AC701" s="15"/>
      <c r="AD701" s="15"/>
    </row>
    <row r="702">
      <c r="F702" s="15"/>
      <c r="G702" s="15"/>
      <c r="H702" s="15"/>
      <c r="K702" s="16"/>
      <c r="R702" s="17"/>
      <c r="S702" s="17"/>
      <c r="T702" s="17"/>
      <c r="U702" s="17"/>
      <c r="V702" s="18"/>
      <c r="W702" s="18"/>
      <c r="X702" s="17"/>
      <c r="Y702" s="18"/>
      <c r="Z702" s="19"/>
      <c r="AB702" s="20"/>
      <c r="AC702" s="15"/>
      <c r="AD702" s="15"/>
    </row>
    <row r="703">
      <c r="F703" s="15"/>
      <c r="G703" s="15"/>
      <c r="H703" s="15"/>
      <c r="K703" s="16"/>
      <c r="R703" s="17"/>
      <c r="S703" s="17"/>
      <c r="T703" s="17"/>
      <c r="U703" s="17"/>
      <c r="V703" s="18"/>
      <c r="W703" s="18"/>
      <c r="X703" s="17"/>
      <c r="Y703" s="18"/>
      <c r="Z703" s="19"/>
      <c r="AB703" s="20"/>
      <c r="AC703" s="15"/>
      <c r="AD703" s="15"/>
    </row>
    <row r="704">
      <c r="F704" s="15"/>
      <c r="G704" s="15"/>
      <c r="H704" s="15"/>
      <c r="K704" s="16"/>
      <c r="R704" s="17"/>
      <c r="S704" s="17"/>
      <c r="T704" s="17"/>
      <c r="U704" s="17"/>
      <c r="V704" s="18"/>
      <c r="W704" s="18"/>
      <c r="X704" s="17"/>
      <c r="Y704" s="18"/>
      <c r="Z704" s="19"/>
      <c r="AB704" s="20"/>
      <c r="AC704" s="15"/>
      <c r="AD704" s="15"/>
    </row>
    <row r="705">
      <c r="F705" s="15"/>
      <c r="G705" s="15"/>
      <c r="H705" s="15"/>
      <c r="K705" s="16"/>
      <c r="R705" s="17"/>
      <c r="S705" s="17"/>
      <c r="T705" s="17"/>
      <c r="U705" s="17"/>
      <c r="V705" s="18"/>
      <c r="W705" s="18"/>
      <c r="X705" s="17"/>
      <c r="Y705" s="18"/>
      <c r="Z705" s="19"/>
      <c r="AB705" s="20"/>
      <c r="AC705" s="15"/>
      <c r="AD705" s="15"/>
    </row>
    <row r="706">
      <c r="F706" s="15"/>
      <c r="G706" s="15"/>
      <c r="H706" s="15"/>
      <c r="K706" s="16"/>
      <c r="R706" s="17"/>
      <c r="S706" s="17"/>
      <c r="T706" s="17"/>
      <c r="U706" s="17"/>
      <c r="V706" s="18"/>
      <c r="W706" s="18"/>
      <c r="X706" s="17"/>
      <c r="Y706" s="18"/>
      <c r="Z706" s="19"/>
      <c r="AB706" s="20"/>
      <c r="AC706" s="15"/>
      <c r="AD706" s="15"/>
    </row>
    <row r="707">
      <c r="F707" s="15"/>
      <c r="G707" s="15"/>
      <c r="H707" s="15"/>
      <c r="K707" s="16"/>
      <c r="R707" s="17"/>
      <c r="S707" s="17"/>
      <c r="T707" s="17"/>
      <c r="U707" s="17"/>
      <c r="V707" s="18"/>
      <c r="W707" s="18"/>
      <c r="X707" s="17"/>
      <c r="Y707" s="18"/>
      <c r="Z707" s="19"/>
      <c r="AB707" s="20"/>
      <c r="AC707" s="15"/>
      <c r="AD707" s="15"/>
    </row>
    <row r="708">
      <c r="F708" s="15"/>
      <c r="G708" s="15"/>
      <c r="H708" s="15"/>
      <c r="K708" s="16"/>
      <c r="R708" s="17"/>
      <c r="S708" s="17"/>
      <c r="T708" s="17"/>
      <c r="U708" s="17"/>
      <c r="V708" s="18"/>
      <c r="W708" s="18"/>
      <c r="X708" s="17"/>
      <c r="Y708" s="18"/>
      <c r="Z708" s="19"/>
      <c r="AB708" s="20"/>
      <c r="AC708" s="15"/>
      <c r="AD708" s="15"/>
    </row>
    <row r="709">
      <c r="F709" s="15"/>
      <c r="G709" s="15"/>
      <c r="H709" s="15"/>
      <c r="K709" s="16"/>
      <c r="R709" s="17"/>
      <c r="S709" s="17"/>
      <c r="T709" s="17"/>
      <c r="U709" s="17"/>
      <c r="V709" s="18"/>
      <c r="W709" s="18"/>
      <c r="X709" s="17"/>
      <c r="Y709" s="18"/>
      <c r="Z709" s="19"/>
      <c r="AB709" s="20"/>
      <c r="AC709" s="15"/>
      <c r="AD709" s="15"/>
    </row>
    <row r="710">
      <c r="F710" s="15"/>
      <c r="G710" s="15"/>
      <c r="H710" s="15"/>
      <c r="K710" s="16"/>
      <c r="R710" s="17"/>
      <c r="S710" s="17"/>
      <c r="T710" s="17"/>
      <c r="U710" s="17"/>
      <c r="V710" s="18"/>
      <c r="W710" s="18"/>
      <c r="X710" s="17"/>
      <c r="Y710" s="18"/>
      <c r="Z710" s="19"/>
      <c r="AB710" s="20"/>
      <c r="AC710" s="15"/>
      <c r="AD710" s="15"/>
    </row>
    <row r="711">
      <c r="F711" s="15"/>
      <c r="G711" s="15"/>
      <c r="H711" s="15"/>
      <c r="K711" s="16"/>
      <c r="R711" s="17"/>
      <c r="S711" s="17"/>
      <c r="T711" s="17"/>
      <c r="U711" s="17"/>
      <c r="V711" s="18"/>
      <c r="W711" s="18"/>
      <c r="X711" s="17"/>
      <c r="Y711" s="18"/>
      <c r="Z711" s="19"/>
      <c r="AB711" s="20"/>
      <c r="AC711" s="15"/>
      <c r="AD711" s="15"/>
    </row>
    <row r="712">
      <c r="F712" s="15"/>
      <c r="G712" s="15"/>
      <c r="H712" s="15"/>
      <c r="K712" s="16"/>
      <c r="R712" s="17"/>
      <c r="S712" s="17"/>
      <c r="T712" s="17"/>
      <c r="U712" s="17"/>
      <c r="V712" s="18"/>
      <c r="W712" s="18"/>
      <c r="X712" s="17"/>
      <c r="Y712" s="18"/>
      <c r="Z712" s="19"/>
      <c r="AB712" s="20"/>
      <c r="AC712" s="15"/>
      <c r="AD712" s="15"/>
    </row>
    <row r="713">
      <c r="F713" s="15"/>
      <c r="G713" s="15"/>
      <c r="H713" s="15"/>
      <c r="K713" s="16"/>
      <c r="R713" s="17"/>
      <c r="S713" s="17"/>
      <c r="T713" s="17"/>
      <c r="U713" s="17"/>
      <c r="V713" s="18"/>
      <c r="W713" s="18"/>
      <c r="X713" s="17"/>
      <c r="Y713" s="18"/>
      <c r="Z713" s="19"/>
      <c r="AB713" s="20"/>
      <c r="AC713" s="15"/>
      <c r="AD713" s="15"/>
    </row>
    <row r="714">
      <c r="F714" s="15"/>
      <c r="G714" s="15"/>
      <c r="H714" s="15"/>
      <c r="K714" s="16"/>
      <c r="R714" s="17"/>
      <c r="S714" s="17"/>
      <c r="T714" s="17"/>
      <c r="U714" s="17"/>
      <c r="V714" s="18"/>
      <c r="W714" s="18"/>
      <c r="X714" s="17"/>
      <c r="Y714" s="18"/>
      <c r="Z714" s="19"/>
      <c r="AB714" s="20"/>
      <c r="AC714" s="15"/>
      <c r="AD714" s="15"/>
    </row>
    <row r="715">
      <c r="F715" s="15"/>
      <c r="G715" s="15"/>
      <c r="H715" s="15"/>
      <c r="K715" s="16"/>
      <c r="R715" s="17"/>
      <c r="S715" s="17"/>
      <c r="T715" s="17"/>
      <c r="U715" s="17"/>
      <c r="V715" s="18"/>
      <c r="W715" s="18"/>
      <c r="X715" s="17"/>
      <c r="Y715" s="18"/>
      <c r="Z715" s="19"/>
      <c r="AB715" s="20"/>
      <c r="AC715" s="15"/>
      <c r="AD715" s="15"/>
    </row>
    <row r="716">
      <c r="F716" s="15"/>
      <c r="G716" s="15"/>
      <c r="H716" s="15"/>
      <c r="K716" s="16"/>
      <c r="R716" s="17"/>
      <c r="S716" s="17"/>
      <c r="T716" s="17"/>
      <c r="U716" s="17"/>
      <c r="V716" s="18"/>
      <c r="W716" s="18"/>
      <c r="X716" s="17"/>
      <c r="Y716" s="18"/>
      <c r="Z716" s="19"/>
      <c r="AB716" s="20"/>
      <c r="AC716" s="15"/>
      <c r="AD716" s="15"/>
    </row>
    <row r="717">
      <c r="F717" s="15"/>
      <c r="G717" s="15"/>
      <c r="H717" s="15"/>
      <c r="K717" s="16"/>
      <c r="R717" s="17"/>
      <c r="S717" s="17"/>
      <c r="T717" s="17"/>
      <c r="U717" s="17"/>
      <c r="V717" s="18"/>
      <c r="W717" s="18"/>
      <c r="X717" s="17"/>
      <c r="Y717" s="18"/>
      <c r="Z717" s="19"/>
      <c r="AB717" s="20"/>
      <c r="AC717" s="15"/>
      <c r="AD717" s="15"/>
    </row>
    <row r="718">
      <c r="F718" s="15"/>
      <c r="G718" s="15"/>
      <c r="H718" s="15"/>
      <c r="K718" s="16"/>
      <c r="R718" s="17"/>
      <c r="S718" s="17"/>
      <c r="T718" s="17"/>
      <c r="U718" s="17"/>
      <c r="V718" s="18"/>
      <c r="W718" s="18"/>
      <c r="X718" s="17"/>
      <c r="Y718" s="18"/>
      <c r="Z718" s="19"/>
      <c r="AB718" s="20"/>
      <c r="AC718" s="15"/>
      <c r="AD718" s="15"/>
    </row>
    <row r="719">
      <c r="F719" s="15"/>
      <c r="G719" s="15"/>
      <c r="H719" s="15"/>
      <c r="K719" s="16"/>
      <c r="R719" s="17"/>
      <c r="S719" s="17"/>
      <c r="T719" s="17"/>
      <c r="U719" s="17"/>
      <c r="V719" s="18"/>
      <c r="W719" s="18"/>
      <c r="X719" s="17"/>
      <c r="Y719" s="18"/>
      <c r="Z719" s="19"/>
      <c r="AB719" s="20"/>
      <c r="AC719" s="15"/>
      <c r="AD719" s="15"/>
    </row>
    <row r="720">
      <c r="F720" s="15"/>
      <c r="G720" s="15"/>
      <c r="H720" s="15"/>
      <c r="K720" s="16"/>
      <c r="R720" s="17"/>
      <c r="S720" s="17"/>
      <c r="T720" s="17"/>
      <c r="U720" s="17"/>
      <c r="V720" s="18"/>
      <c r="W720" s="18"/>
      <c r="X720" s="17"/>
      <c r="Y720" s="18"/>
      <c r="Z720" s="19"/>
      <c r="AB720" s="20"/>
      <c r="AC720" s="15"/>
      <c r="AD720" s="15"/>
    </row>
    <row r="721">
      <c r="F721" s="15"/>
      <c r="G721" s="15"/>
      <c r="H721" s="15"/>
      <c r="K721" s="16"/>
      <c r="R721" s="17"/>
      <c r="S721" s="17"/>
      <c r="T721" s="17"/>
      <c r="U721" s="17"/>
      <c r="V721" s="18"/>
      <c r="W721" s="18"/>
      <c r="X721" s="17"/>
      <c r="Y721" s="18"/>
      <c r="Z721" s="19"/>
      <c r="AB721" s="20"/>
      <c r="AC721" s="15"/>
      <c r="AD721" s="15"/>
    </row>
    <row r="722">
      <c r="F722" s="15"/>
      <c r="G722" s="15"/>
      <c r="H722" s="15"/>
      <c r="K722" s="16"/>
      <c r="R722" s="17"/>
      <c r="S722" s="17"/>
      <c r="T722" s="17"/>
      <c r="U722" s="17"/>
      <c r="V722" s="18"/>
      <c r="W722" s="18"/>
      <c r="X722" s="17"/>
      <c r="Y722" s="18"/>
      <c r="Z722" s="19"/>
      <c r="AB722" s="20"/>
      <c r="AC722" s="15"/>
      <c r="AD722" s="15"/>
    </row>
    <row r="723">
      <c r="F723" s="15"/>
      <c r="G723" s="15"/>
      <c r="H723" s="15"/>
      <c r="K723" s="16"/>
      <c r="R723" s="17"/>
      <c r="S723" s="17"/>
      <c r="T723" s="17"/>
      <c r="U723" s="17"/>
      <c r="V723" s="18"/>
      <c r="W723" s="18"/>
      <c r="X723" s="17"/>
      <c r="Y723" s="18"/>
      <c r="Z723" s="19"/>
      <c r="AB723" s="20"/>
      <c r="AC723" s="15"/>
      <c r="AD723" s="15"/>
    </row>
    <row r="724">
      <c r="F724" s="15"/>
      <c r="G724" s="15"/>
      <c r="H724" s="15"/>
      <c r="K724" s="16"/>
      <c r="R724" s="17"/>
      <c r="S724" s="17"/>
      <c r="T724" s="17"/>
      <c r="U724" s="17"/>
      <c r="V724" s="18"/>
      <c r="W724" s="18"/>
      <c r="X724" s="17"/>
      <c r="Y724" s="18"/>
      <c r="Z724" s="19"/>
      <c r="AB724" s="20"/>
      <c r="AC724" s="15"/>
      <c r="AD724" s="15"/>
    </row>
    <row r="725">
      <c r="F725" s="15"/>
      <c r="G725" s="15"/>
      <c r="H725" s="15"/>
      <c r="K725" s="16"/>
      <c r="R725" s="17"/>
      <c r="S725" s="17"/>
      <c r="T725" s="17"/>
      <c r="U725" s="17"/>
      <c r="V725" s="18"/>
      <c r="W725" s="18"/>
      <c r="X725" s="17"/>
      <c r="Y725" s="18"/>
      <c r="Z725" s="19"/>
      <c r="AB725" s="20"/>
      <c r="AC725" s="15"/>
      <c r="AD725" s="15"/>
    </row>
    <row r="726">
      <c r="F726" s="15"/>
      <c r="G726" s="15"/>
      <c r="H726" s="15"/>
      <c r="K726" s="16"/>
      <c r="R726" s="17"/>
      <c r="S726" s="17"/>
      <c r="T726" s="17"/>
      <c r="U726" s="17"/>
      <c r="V726" s="18"/>
      <c r="W726" s="18"/>
      <c r="X726" s="17"/>
      <c r="Y726" s="18"/>
      <c r="Z726" s="19"/>
      <c r="AB726" s="20"/>
      <c r="AC726" s="15"/>
      <c r="AD726" s="15"/>
    </row>
    <row r="727">
      <c r="F727" s="15"/>
      <c r="G727" s="15"/>
      <c r="H727" s="15"/>
      <c r="K727" s="16"/>
      <c r="R727" s="17"/>
      <c r="S727" s="17"/>
      <c r="T727" s="17"/>
      <c r="U727" s="17"/>
      <c r="V727" s="18"/>
      <c r="W727" s="18"/>
      <c r="X727" s="17"/>
      <c r="Y727" s="18"/>
      <c r="Z727" s="19"/>
      <c r="AB727" s="20"/>
      <c r="AC727" s="15"/>
      <c r="AD727" s="15"/>
    </row>
    <row r="728">
      <c r="F728" s="15"/>
      <c r="G728" s="15"/>
      <c r="H728" s="15"/>
      <c r="K728" s="16"/>
      <c r="R728" s="17"/>
      <c r="S728" s="17"/>
      <c r="T728" s="17"/>
      <c r="U728" s="17"/>
      <c r="V728" s="18"/>
      <c r="W728" s="18"/>
      <c r="X728" s="17"/>
      <c r="Y728" s="18"/>
      <c r="Z728" s="19"/>
      <c r="AB728" s="20"/>
      <c r="AC728" s="15"/>
      <c r="AD728" s="15"/>
    </row>
    <row r="729">
      <c r="F729" s="15"/>
      <c r="G729" s="15"/>
      <c r="H729" s="15"/>
      <c r="K729" s="16"/>
      <c r="R729" s="17"/>
      <c r="S729" s="17"/>
      <c r="T729" s="17"/>
      <c r="U729" s="17"/>
      <c r="V729" s="18"/>
      <c r="W729" s="18"/>
      <c r="X729" s="17"/>
      <c r="Y729" s="18"/>
      <c r="Z729" s="19"/>
      <c r="AB729" s="20"/>
      <c r="AC729" s="15"/>
      <c r="AD729" s="15"/>
    </row>
    <row r="730">
      <c r="F730" s="15"/>
      <c r="G730" s="15"/>
      <c r="H730" s="15"/>
      <c r="K730" s="16"/>
      <c r="R730" s="17"/>
      <c r="S730" s="17"/>
      <c r="T730" s="17"/>
      <c r="U730" s="17"/>
      <c r="V730" s="18"/>
      <c r="W730" s="18"/>
      <c r="X730" s="17"/>
      <c r="Y730" s="18"/>
      <c r="Z730" s="19"/>
      <c r="AB730" s="20"/>
      <c r="AC730" s="15"/>
      <c r="AD730" s="15"/>
    </row>
    <row r="731">
      <c r="F731" s="15"/>
      <c r="G731" s="15"/>
      <c r="H731" s="15"/>
      <c r="K731" s="16"/>
      <c r="R731" s="17"/>
      <c r="S731" s="17"/>
      <c r="T731" s="17"/>
      <c r="U731" s="17"/>
      <c r="V731" s="18"/>
      <c r="W731" s="18"/>
      <c r="X731" s="17"/>
      <c r="Y731" s="18"/>
      <c r="Z731" s="19"/>
      <c r="AB731" s="20"/>
      <c r="AC731" s="15"/>
      <c r="AD731" s="15"/>
    </row>
    <row r="732">
      <c r="F732" s="15"/>
      <c r="G732" s="15"/>
      <c r="H732" s="15"/>
      <c r="K732" s="16"/>
      <c r="R732" s="17"/>
      <c r="S732" s="17"/>
      <c r="T732" s="17"/>
      <c r="U732" s="17"/>
      <c r="V732" s="18"/>
      <c r="W732" s="18"/>
      <c r="X732" s="17"/>
      <c r="Y732" s="18"/>
      <c r="Z732" s="19"/>
      <c r="AB732" s="20"/>
      <c r="AC732" s="15"/>
      <c r="AD732" s="15"/>
    </row>
    <row r="733">
      <c r="F733" s="15"/>
      <c r="G733" s="15"/>
      <c r="H733" s="15"/>
      <c r="K733" s="16"/>
      <c r="R733" s="17"/>
      <c r="S733" s="17"/>
      <c r="T733" s="17"/>
      <c r="U733" s="17"/>
      <c r="V733" s="18"/>
      <c r="W733" s="18"/>
      <c r="X733" s="17"/>
      <c r="Y733" s="18"/>
      <c r="Z733" s="19"/>
      <c r="AB733" s="20"/>
      <c r="AC733" s="15"/>
      <c r="AD733" s="15"/>
    </row>
    <row r="734">
      <c r="F734" s="15"/>
      <c r="G734" s="15"/>
      <c r="H734" s="15"/>
      <c r="K734" s="16"/>
      <c r="R734" s="17"/>
      <c r="S734" s="17"/>
      <c r="T734" s="17"/>
      <c r="U734" s="17"/>
      <c r="V734" s="18"/>
      <c r="W734" s="18"/>
      <c r="X734" s="17"/>
      <c r="Y734" s="18"/>
      <c r="Z734" s="19"/>
      <c r="AB734" s="20"/>
      <c r="AC734" s="15"/>
      <c r="AD734" s="15"/>
    </row>
    <row r="735">
      <c r="F735" s="15"/>
      <c r="G735" s="15"/>
      <c r="H735" s="15"/>
      <c r="K735" s="16"/>
      <c r="R735" s="17"/>
      <c r="S735" s="17"/>
      <c r="T735" s="17"/>
      <c r="U735" s="17"/>
      <c r="V735" s="18"/>
      <c r="W735" s="18"/>
      <c r="X735" s="17"/>
      <c r="Y735" s="18"/>
      <c r="Z735" s="19"/>
      <c r="AB735" s="20"/>
      <c r="AC735" s="15"/>
      <c r="AD735" s="15"/>
    </row>
    <row r="736">
      <c r="F736" s="15"/>
      <c r="G736" s="15"/>
      <c r="H736" s="15"/>
      <c r="K736" s="16"/>
      <c r="R736" s="17"/>
      <c r="S736" s="17"/>
      <c r="T736" s="17"/>
      <c r="U736" s="17"/>
      <c r="V736" s="18"/>
      <c r="W736" s="18"/>
      <c r="X736" s="17"/>
      <c r="Y736" s="18"/>
      <c r="Z736" s="19"/>
      <c r="AB736" s="20"/>
      <c r="AC736" s="15"/>
      <c r="AD736" s="15"/>
    </row>
    <row r="737">
      <c r="F737" s="15"/>
      <c r="G737" s="15"/>
      <c r="H737" s="15"/>
      <c r="K737" s="16"/>
      <c r="R737" s="17"/>
      <c r="S737" s="17"/>
      <c r="T737" s="17"/>
      <c r="U737" s="17"/>
      <c r="V737" s="18"/>
      <c r="W737" s="18"/>
      <c r="X737" s="17"/>
      <c r="Y737" s="18"/>
      <c r="Z737" s="19"/>
      <c r="AB737" s="20"/>
      <c r="AC737" s="15"/>
      <c r="AD737" s="15"/>
    </row>
    <row r="738">
      <c r="F738" s="15"/>
      <c r="G738" s="15"/>
      <c r="H738" s="15"/>
      <c r="K738" s="16"/>
      <c r="R738" s="17"/>
      <c r="S738" s="17"/>
      <c r="T738" s="17"/>
      <c r="U738" s="17"/>
      <c r="V738" s="18"/>
      <c r="W738" s="18"/>
      <c r="X738" s="17"/>
      <c r="Y738" s="18"/>
      <c r="Z738" s="19"/>
      <c r="AB738" s="20"/>
      <c r="AC738" s="15"/>
      <c r="AD738" s="15"/>
    </row>
    <row r="739">
      <c r="F739" s="15"/>
      <c r="G739" s="15"/>
      <c r="H739" s="15"/>
      <c r="K739" s="16"/>
      <c r="R739" s="17"/>
      <c r="S739" s="17"/>
      <c r="T739" s="17"/>
      <c r="U739" s="17"/>
      <c r="V739" s="18"/>
      <c r="W739" s="18"/>
      <c r="X739" s="17"/>
      <c r="Y739" s="18"/>
      <c r="Z739" s="19"/>
      <c r="AB739" s="20"/>
      <c r="AC739" s="15"/>
      <c r="AD739" s="15"/>
    </row>
    <row r="740">
      <c r="F740" s="15"/>
      <c r="G740" s="15"/>
      <c r="H740" s="15"/>
      <c r="K740" s="16"/>
      <c r="R740" s="17"/>
      <c r="S740" s="17"/>
      <c r="T740" s="17"/>
      <c r="U740" s="17"/>
      <c r="V740" s="18"/>
      <c r="W740" s="18"/>
      <c r="X740" s="17"/>
      <c r="Y740" s="18"/>
      <c r="Z740" s="19"/>
      <c r="AB740" s="20"/>
      <c r="AC740" s="15"/>
      <c r="AD740" s="15"/>
    </row>
    <row r="741">
      <c r="F741" s="15"/>
      <c r="G741" s="15"/>
      <c r="H741" s="15"/>
      <c r="K741" s="16"/>
      <c r="R741" s="17"/>
      <c r="S741" s="17"/>
      <c r="T741" s="17"/>
      <c r="U741" s="17"/>
      <c r="V741" s="18"/>
      <c r="W741" s="18"/>
      <c r="X741" s="17"/>
      <c r="Y741" s="18"/>
      <c r="Z741" s="19"/>
      <c r="AB741" s="20"/>
      <c r="AC741" s="15"/>
      <c r="AD741" s="15"/>
    </row>
    <row r="742">
      <c r="F742" s="15"/>
      <c r="G742" s="15"/>
      <c r="H742" s="15"/>
      <c r="K742" s="16"/>
      <c r="R742" s="17"/>
      <c r="S742" s="17"/>
      <c r="T742" s="17"/>
      <c r="U742" s="17"/>
      <c r="V742" s="18"/>
      <c r="W742" s="18"/>
      <c r="X742" s="17"/>
      <c r="Y742" s="18"/>
      <c r="Z742" s="19"/>
      <c r="AB742" s="20"/>
      <c r="AC742" s="15"/>
      <c r="AD742" s="15"/>
    </row>
    <row r="743">
      <c r="F743" s="15"/>
      <c r="G743" s="15"/>
      <c r="H743" s="15"/>
      <c r="K743" s="16"/>
      <c r="R743" s="17"/>
      <c r="S743" s="17"/>
      <c r="T743" s="17"/>
      <c r="U743" s="17"/>
      <c r="V743" s="18"/>
      <c r="W743" s="18"/>
      <c r="X743" s="17"/>
      <c r="Y743" s="18"/>
      <c r="Z743" s="19"/>
      <c r="AB743" s="20"/>
      <c r="AC743" s="15"/>
      <c r="AD743" s="15"/>
    </row>
    <row r="744">
      <c r="F744" s="15"/>
      <c r="G744" s="15"/>
      <c r="H744" s="15"/>
      <c r="K744" s="16"/>
      <c r="R744" s="17"/>
      <c r="S744" s="17"/>
      <c r="T744" s="17"/>
      <c r="U744" s="17"/>
      <c r="V744" s="18"/>
      <c r="W744" s="18"/>
      <c r="X744" s="17"/>
      <c r="Y744" s="18"/>
      <c r="Z744" s="19"/>
      <c r="AB744" s="20"/>
      <c r="AC744" s="15"/>
      <c r="AD744" s="15"/>
    </row>
    <row r="745">
      <c r="F745" s="15"/>
      <c r="G745" s="15"/>
      <c r="H745" s="15"/>
      <c r="K745" s="16"/>
      <c r="R745" s="17"/>
      <c r="S745" s="17"/>
      <c r="T745" s="17"/>
      <c r="U745" s="17"/>
      <c r="V745" s="18"/>
      <c r="W745" s="18"/>
      <c r="X745" s="17"/>
      <c r="Y745" s="18"/>
      <c r="Z745" s="19"/>
      <c r="AB745" s="20"/>
      <c r="AC745" s="15"/>
      <c r="AD745" s="15"/>
    </row>
    <row r="746">
      <c r="F746" s="15"/>
      <c r="G746" s="15"/>
      <c r="H746" s="15"/>
      <c r="K746" s="16"/>
      <c r="R746" s="17"/>
      <c r="S746" s="17"/>
      <c r="T746" s="17"/>
      <c r="U746" s="17"/>
      <c r="V746" s="18"/>
      <c r="W746" s="18"/>
      <c r="X746" s="17"/>
      <c r="Y746" s="18"/>
      <c r="Z746" s="19"/>
      <c r="AB746" s="20"/>
      <c r="AC746" s="15"/>
      <c r="AD746" s="15"/>
    </row>
    <row r="747">
      <c r="F747" s="15"/>
      <c r="G747" s="15"/>
      <c r="H747" s="15"/>
      <c r="K747" s="16"/>
      <c r="R747" s="17"/>
      <c r="S747" s="17"/>
      <c r="T747" s="17"/>
      <c r="U747" s="17"/>
      <c r="V747" s="18"/>
      <c r="W747" s="18"/>
      <c r="X747" s="17"/>
      <c r="Y747" s="18"/>
      <c r="Z747" s="19"/>
      <c r="AB747" s="20"/>
      <c r="AC747" s="15"/>
      <c r="AD747" s="15"/>
    </row>
    <row r="748">
      <c r="F748" s="15"/>
      <c r="G748" s="15"/>
      <c r="H748" s="15"/>
      <c r="K748" s="16"/>
      <c r="R748" s="17"/>
      <c r="S748" s="17"/>
      <c r="T748" s="17"/>
      <c r="U748" s="17"/>
      <c r="V748" s="18"/>
      <c r="W748" s="18"/>
      <c r="X748" s="17"/>
      <c r="Y748" s="18"/>
      <c r="Z748" s="19"/>
      <c r="AB748" s="20"/>
      <c r="AC748" s="15"/>
      <c r="AD748" s="15"/>
    </row>
    <row r="749">
      <c r="F749" s="15"/>
      <c r="G749" s="15"/>
      <c r="H749" s="15"/>
      <c r="K749" s="16"/>
      <c r="R749" s="17"/>
      <c r="S749" s="17"/>
      <c r="T749" s="17"/>
      <c r="U749" s="17"/>
      <c r="V749" s="18"/>
      <c r="W749" s="18"/>
      <c r="X749" s="17"/>
      <c r="Y749" s="18"/>
      <c r="Z749" s="19"/>
      <c r="AB749" s="20"/>
      <c r="AC749" s="15"/>
      <c r="AD749" s="15"/>
    </row>
    <row r="750">
      <c r="F750" s="15"/>
      <c r="G750" s="15"/>
      <c r="H750" s="15"/>
      <c r="K750" s="16"/>
      <c r="R750" s="17"/>
      <c r="S750" s="17"/>
      <c r="T750" s="17"/>
      <c r="U750" s="17"/>
      <c r="V750" s="18"/>
      <c r="W750" s="18"/>
      <c r="X750" s="17"/>
      <c r="Y750" s="18"/>
      <c r="Z750" s="19"/>
      <c r="AB750" s="20"/>
      <c r="AC750" s="15"/>
      <c r="AD750" s="15"/>
    </row>
    <row r="751">
      <c r="F751" s="15"/>
      <c r="G751" s="15"/>
      <c r="H751" s="15"/>
      <c r="K751" s="16"/>
      <c r="R751" s="17"/>
      <c r="S751" s="17"/>
      <c r="T751" s="17"/>
      <c r="U751" s="17"/>
      <c r="V751" s="18"/>
      <c r="W751" s="18"/>
      <c r="X751" s="17"/>
      <c r="Y751" s="18"/>
      <c r="Z751" s="19"/>
      <c r="AB751" s="20"/>
      <c r="AC751" s="15"/>
      <c r="AD751" s="15"/>
    </row>
    <row r="752">
      <c r="F752" s="15"/>
      <c r="G752" s="15"/>
      <c r="H752" s="15"/>
      <c r="K752" s="16"/>
      <c r="R752" s="17"/>
      <c r="S752" s="17"/>
      <c r="T752" s="17"/>
      <c r="U752" s="17"/>
      <c r="V752" s="18"/>
      <c r="W752" s="18"/>
      <c r="X752" s="17"/>
      <c r="Y752" s="18"/>
      <c r="Z752" s="19"/>
      <c r="AB752" s="20"/>
      <c r="AC752" s="15"/>
      <c r="AD752" s="15"/>
    </row>
    <row r="753">
      <c r="F753" s="15"/>
      <c r="G753" s="15"/>
      <c r="H753" s="15"/>
      <c r="K753" s="16"/>
      <c r="R753" s="17"/>
      <c r="S753" s="17"/>
      <c r="T753" s="17"/>
      <c r="U753" s="17"/>
      <c r="V753" s="18"/>
      <c r="W753" s="18"/>
      <c r="X753" s="17"/>
      <c r="Y753" s="18"/>
      <c r="Z753" s="19"/>
      <c r="AB753" s="20"/>
      <c r="AC753" s="15"/>
      <c r="AD753" s="15"/>
    </row>
    <row r="754">
      <c r="F754" s="15"/>
      <c r="G754" s="15"/>
      <c r="H754" s="15"/>
      <c r="K754" s="16"/>
      <c r="R754" s="17"/>
      <c r="S754" s="17"/>
      <c r="T754" s="17"/>
      <c r="U754" s="17"/>
      <c r="V754" s="18"/>
      <c r="W754" s="18"/>
      <c r="X754" s="17"/>
      <c r="Y754" s="18"/>
      <c r="Z754" s="19"/>
      <c r="AB754" s="20"/>
      <c r="AC754" s="15"/>
      <c r="AD754" s="15"/>
    </row>
    <row r="755">
      <c r="F755" s="15"/>
      <c r="G755" s="15"/>
      <c r="H755" s="15"/>
      <c r="K755" s="16"/>
      <c r="R755" s="17"/>
      <c r="S755" s="17"/>
      <c r="T755" s="17"/>
      <c r="U755" s="17"/>
      <c r="V755" s="18"/>
      <c r="W755" s="18"/>
      <c r="X755" s="17"/>
      <c r="Y755" s="18"/>
      <c r="Z755" s="19"/>
      <c r="AB755" s="20"/>
      <c r="AC755" s="15"/>
      <c r="AD755" s="15"/>
    </row>
    <row r="756">
      <c r="F756" s="15"/>
      <c r="G756" s="15"/>
      <c r="H756" s="15"/>
      <c r="K756" s="16"/>
      <c r="R756" s="17"/>
      <c r="S756" s="17"/>
      <c r="T756" s="17"/>
      <c r="U756" s="17"/>
      <c r="V756" s="18"/>
      <c r="W756" s="18"/>
      <c r="X756" s="17"/>
      <c r="Y756" s="18"/>
      <c r="Z756" s="19"/>
      <c r="AB756" s="20"/>
      <c r="AC756" s="15"/>
      <c r="AD756" s="15"/>
    </row>
    <row r="757">
      <c r="F757" s="15"/>
      <c r="G757" s="15"/>
      <c r="H757" s="15"/>
      <c r="K757" s="16"/>
      <c r="R757" s="17"/>
      <c r="S757" s="17"/>
      <c r="T757" s="17"/>
      <c r="U757" s="17"/>
      <c r="V757" s="18"/>
      <c r="W757" s="18"/>
      <c r="X757" s="17"/>
      <c r="Y757" s="18"/>
      <c r="Z757" s="19"/>
      <c r="AB757" s="20"/>
      <c r="AC757" s="15"/>
      <c r="AD757" s="15"/>
    </row>
    <row r="758">
      <c r="F758" s="15"/>
      <c r="G758" s="15"/>
      <c r="H758" s="15"/>
      <c r="K758" s="16"/>
      <c r="R758" s="17"/>
      <c r="S758" s="17"/>
      <c r="T758" s="17"/>
      <c r="U758" s="17"/>
      <c r="V758" s="18"/>
      <c r="W758" s="18"/>
      <c r="X758" s="17"/>
      <c r="Y758" s="18"/>
      <c r="Z758" s="19"/>
      <c r="AB758" s="20"/>
      <c r="AC758" s="15"/>
      <c r="AD758" s="15"/>
    </row>
    <row r="759">
      <c r="F759" s="15"/>
      <c r="G759" s="15"/>
      <c r="H759" s="15"/>
      <c r="K759" s="16"/>
      <c r="R759" s="17"/>
      <c r="S759" s="17"/>
      <c r="T759" s="17"/>
      <c r="U759" s="17"/>
      <c r="V759" s="18"/>
      <c r="W759" s="18"/>
      <c r="X759" s="17"/>
      <c r="Y759" s="18"/>
      <c r="Z759" s="19"/>
      <c r="AB759" s="20"/>
      <c r="AC759" s="15"/>
      <c r="AD759" s="15"/>
    </row>
    <row r="760">
      <c r="F760" s="15"/>
      <c r="G760" s="15"/>
      <c r="H760" s="15"/>
      <c r="K760" s="16"/>
      <c r="R760" s="17"/>
      <c r="S760" s="17"/>
      <c r="T760" s="17"/>
      <c r="U760" s="17"/>
      <c r="V760" s="18"/>
      <c r="W760" s="18"/>
      <c r="X760" s="17"/>
      <c r="Y760" s="18"/>
      <c r="Z760" s="19"/>
      <c r="AB760" s="20"/>
      <c r="AC760" s="15"/>
      <c r="AD760" s="15"/>
    </row>
    <row r="761">
      <c r="F761" s="15"/>
      <c r="G761" s="15"/>
      <c r="H761" s="15"/>
      <c r="K761" s="16"/>
      <c r="R761" s="17"/>
      <c r="S761" s="17"/>
      <c r="T761" s="17"/>
      <c r="U761" s="17"/>
      <c r="V761" s="18"/>
      <c r="W761" s="18"/>
      <c r="X761" s="17"/>
      <c r="Y761" s="18"/>
      <c r="Z761" s="19"/>
      <c r="AB761" s="20"/>
      <c r="AC761" s="15"/>
      <c r="AD761" s="15"/>
    </row>
    <row r="762">
      <c r="F762" s="15"/>
      <c r="G762" s="15"/>
      <c r="H762" s="15"/>
      <c r="K762" s="16"/>
      <c r="R762" s="17"/>
      <c r="S762" s="17"/>
      <c r="T762" s="17"/>
      <c r="U762" s="17"/>
      <c r="V762" s="18"/>
      <c r="W762" s="18"/>
      <c r="X762" s="17"/>
      <c r="Y762" s="18"/>
      <c r="Z762" s="19"/>
      <c r="AB762" s="20"/>
      <c r="AC762" s="15"/>
      <c r="AD762" s="15"/>
    </row>
    <row r="763">
      <c r="F763" s="15"/>
      <c r="G763" s="15"/>
      <c r="H763" s="15"/>
      <c r="K763" s="16"/>
      <c r="R763" s="17"/>
      <c r="S763" s="17"/>
      <c r="T763" s="17"/>
      <c r="U763" s="17"/>
      <c r="V763" s="18"/>
      <c r="W763" s="18"/>
      <c r="X763" s="17"/>
      <c r="Y763" s="18"/>
      <c r="Z763" s="19"/>
      <c r="AB763" s="20"/>
      <c r="AC763" s="15"/>
      <c r="AD763" s="15"/>
    </row>
    <row r="764">
      <c r="F764" s="15"/>
      <c r="G764" s="15"/>
      <c r="H764" s="15"/>
      <c r="K764" s="16"/>
      <c r="R764" s="17"/>
      <c r="S764" s="17"/>
      <c r="T764" s="17"/>
      <c r="U764" s="17"/>
      <c r="V764" s="18"/>
      <c r="W764" s="18"/>
      <c r="X764" s="17"/>
      <c r="Y764" s="18"/>
      <c r="Z764" s="19"/>
      <c r="AB764" s="20"/>
      <c r="AC764" s="15"/>
      <c r="AD764" s="15"/>
    </row>
    <row r="765">
      <c r="F765" s="15"/>
      <c r="G765" s="15"/>
      <c r="H765" s="15"/>
      <c r="K765" s="16"/>
      <c r="R765" s="17"/>
      <c r="S765" s="17"/>
      <c r="T765" s="17"/>
      <c r="U765" s="17"/>
      <c r="V765" s="18"/>
      <c r="W765" s="18"/>
      <c r="X765" s="17"/>
      <c r="Y765" s="18"/>
      <c r="Z765" s="19"/>
      <c r="AB765" s="20"/>
      <c r="AC765" s="15"/>
      <c r="AD765" s="15"/>
    </row>
    <row r="766">
      <c r="F766" s="15"/>
      <c r="G766" s="15"/>
      <c r="H766" s="15"/>
      <c r="K766" s="16"/>
      <c r="R766" s="17"/>
      <c r="S766" s="17"/>
      <c r="T766" s="17"/>
      <c r="U766" s="17"/>
      <c r="V766" s="18"/>
      <c r="W766" s="18"/>
      <c r="X766" s="17"/>
      <c r="Y766" s="18"/>
      <c r="Z766" s="19"/>
      <c r="AB766" s="20"/>
      <c r="AC766" s="15"/>
      <c r="AD766" s="15"/>
    </row>
    <row r="767">
      <c r="F767" s="15"/>
      <c r="G767" s="15"/>
      <c r="H767" s="15"/>
      <c r="K767" s="16"/>
      <c r="R767" s="17"/>
      <c r="S767" s="17"/>
      <c r="T767" s="17"/>
      <c r="U767" s="17"/>
      <c r="V767" s="18"/>
      <c r="W767" s="18"/>
      <c r="X767" s="17"/>
      <c r="Y767" s="18"/>
      <c r="Z767" s="19"/>
      <c r="AB767" s="20"/>
      <c r="AC767" s="15"/>
      <c r="AD767" s="15"/>
    </row>
    <row r="768">
      <c r="F768" s="15"/>
      <c r="G768" s="15"/>
      <c r="H768" s="15"/>
      <c r="K768" s="16"/>
      <c r="R768" s="17"/>
      <c r="S768" s="17"/>
      <c r="T768" s="17"/>
      <c r="U768" s="17"/>
      <c r="V768" s="18"/>
      <c r="W768" s="18"/>
      <c r="X768" s="17"/>
      <c r="Y768" s="18"/>
      <c r="Z768" s="19"/>
      <c r="AB768" s="20"/>
      <c r="AC768" s="15"/>
      <c r="AD768" s="15"/>
    </row>
    <row r="769">
      <c r="F769" s="15"/>
      <c r="G769" s="15"/>
      <c r="H769" s="15"/>
      <c r="K769" s="16"/>
      <c r="R769" s="17"/>
      <c r="S769" s="17"/>
      <c r="T769" s="17"/>
      <c r="U769" s="17"/>
      <c r="V769" s="18"/>
      <c r="W769" s="18"/>
      <c r="X769" s="17"/>
      <c r="Y769" s="18"/>
      <c r="Z769" s="19"/>
      <c r="AB769" s="20"/>
      <c r="AC769" s="15"/>
      <c r="AD769" s="15"/>
    </row>
    <row r="770">
      <c r="F770" s="15"/>
      <c r="G770" s="15"/>
      <c r="H770" s="15"/>
      <c r="K770" s="16"/>
      <c r="R770" s="17"/>
      <c r="S770" s="17"/>
      <c r="T770" s="17"/>
      <c r="U770" s="17"/>
      <c r="V770" s="18"/>
      <c r="W770" s="18"/>
      <c r="X770" s="17"/>
      <c r="Y770" s="18"/>
      <c r="Z770" s="19"/>
      <c r="AB770" s="20"/>
      <c r="AC770" s="15"/>
      <c r="AD770" s="15"/>
    </row>
    <row r="771">
      <c r="F771" s="15"/>
      <c r="G771" s="15"/>
      <c r="H771" s="15"/>
      <c r="K771" s="16"/>
      <c r="R771" s="17"/>
      <c r="S771" s="17"/>
      <c r="T771" s="17"/>
      <c r="U771" s="17"/>
      <c r="V771" s="18"/>
      <c r="W771" s="18"/>
      <c r="X771" s="17"/>
      <c r="Y771" s="18"/>
      <c r="Z771" s="19"/>
      <c r="AB771" s="20"/>
      <c r="AC771" s="15"/>
      <c r="AD771" s="15"/>
    </row>
    <row r="772">
      <c r="F772" s="15"/>
      <c r="G772" s="15"/>
      <c r="H772" s="15"/>
      <c r="K772" s="16"/>
      <c r="R772" s="17"/>
      <c r="S772" s="17"/>
      <c r="T772" s="17"/>
      <c r="U772" s="17"/>
      <c r="V772" s="18"/>
      <c r="W772" s="18"/>
      <c r="X772" s="17"/>
      <c r="Y772" s="18"/>
      <c r="Z772" s="19"/>
      <c r="AB772" s="20"/>
      <c r="AC772" s="15"/>
      <c r="AD772" s="15"/>
    </row>
    <row r="773">
      <c r="F773" s="15"/>
      <c r="G773" s="15"/>
      <c r="H773" s="15"/>
      <c r="K773" s="16"/>
      <c r="R773" s="17"/>
      <c r="S773" s="17"/>
      <c r="T773" s="17"/>
      <c r="U773" s="17"/>
      <c r="V773" s="18"/>
      <c r="W773" s="18"/>
      <c r="X773" s="17"/>
      <c r="Y773" s="18"/>
      <c r="Z773" s="19"/>
      <c r="AB773" s="20"/>
      <c r="AC773" s="15"/>
      <c r="AD773" s="15"/>
    </row>
    <row r="774">
      <c r="F774" s="15"/>
      <c r="G774" s="15"/>
      <c r="H774" s="15"/>
      <c r="K774" s="16"/>
      <c r="R774" s="17"/>
      <c r="S774" s="17"/>
      <c r="T774" s="17"/>
      <c r="U774" s="17"/>
      <c r="V774" s="18"/>
      <c r="W774" s="18"/>
      <c r="X774" s="17"/>
      <c r="Y774" s="18"/>
      <c r="Z774" s="19"/>
      <c r="AB774" s="20"/>
      <c r="AC774" s="15"/>
      <c r="AD774" s="15"/>
    </row>
    <row r="775">
      <c r="F775" s="15"/>
      <c r="G775" s="15"/>
      <c r="H775" s="15"/>
      <c r="K775" s="16"/>
      <c r="R775" s="17"/>
      <c r="S775" s="17"/>
      <c r="T775" s="17"/>
      <c r="U775" s="17"/>
      <c r="V775" s="18"/>
      <c r="W775" s="18"/>
      <c r="X775" s="17"/>
      <c r="Y775" s="18"/>
      <c r="Z775" s="19"/>
      <c r="AB775" s="20"/>
      <c r="AC775" s="15"/>
      <c r="AD775" s="15"/>
    </row>
    <row r="776">
      <c r="F776" s="15"/>
      <c r="G776" s="15"/>
      <c r="H776" s="15"/>
      <c r="K776" s="16"/>
      <c r="R776" s="17"/>
      <c r="S776" s="17"/>
      <c r="T776" s="17"/>
      <c r="U776" s="17"/>
      <c r="V776" s="18"/>
      <c r="W776" s="18"/>
      <c r="X776" s="17"/>
      <c r="Y776" s="18"/>
      <c r="Z776" s="19"/>
      <c r="AB776" s="20"/>
      <c r="AC776" s="15"/>
      <c r="AD776" s="15"/>
    </row>
    <row r="777">
      <c r="F777" s="15"/>
      <c r="G777" s="15"/>
      <c r="H777" s="15"/>
      <c r="K777" s="16"/>
      <c r="R777" s="17"/>
      <c r="S777" s="17"/>
      <c r="T777" s="17"/>
      <c r="U777" s="17"/>
      <c r="V777" s="18"/>
      <c r="W777" s="18"/>
      <c r="X777" s="17"/>
      <c r="Y777" s="18"/>
      <c r="Z777" s="19"/>
      <c r="AB777" s="20"/>
      <c r="AC777" s="15"/>
      <c r="AD777" s="15"/>
    </row>
    <row r="778">
      <c r="F778" s="15"/>
      <c r="G778" s="15"/>
      <c r="H778" s="15"/>
      <c r="K778" s="16"/>
      <c r="R778" s="17"/>
      <c r="S778" s="17"/>
      <c r="T778" s="17"/>
      <c r="U778" s="17"/>
      <c r="V778" s="18"/>
      <c r="W778" s="18"/>
      <c r="X778" s="17"/>
      <c r="Y778" s="18"/>
      <c r="Z778" s="19"/>
      <c r="AB778" s="20"/>
      <c r="AC778" s="15"/>
      <c r="AD778" s="15"/>
    </row>
    <row r="779">
      <c r="F779" s="15"/>
      <c r="G779" s="15"/>
      <c r="H779" s="15"/>
      <c r="K779" s="16"/>
      <c r="R779" s="17"/>
      <c r="S779" s="17"/>
      <c r="T779" s="17"/>
      <c r="U779" s="17"/>
      <c r="V779" s="18"/>
      <c r="W779" s="18"/>
      <c r="X779" s="17"/>
      <c r="Y779" s="18"/>
      <c r="Z779" s="19"/>
      <c r="AB779" s="20"/>
      <c r="AC779" s="15"/>
      <c r="AD779" s="15"/>
    </row>
    <row r="780">
      <c r="F780" s="15"/>
      <c r="G780" s="15"/>
      <c r="H780" s="15"/>
      <c r="K780" s="16"/>
      <c r="R780" s="17"/>
      <c r="S780" s="17"/>
      <c r="T780" s="17"/>
      <c r="U780" s="17"/>
      <c r="V780" s="18"/>
      <c r="W780" s="18"/>
      <c r="X780" s="17"/>
      <c r="Y780" s="18"/>
      <c r="Z780" s="19"/>
      <c r="AB780" s="20"/>
      <c r="AC780" s="15"/>
      <c r="AD780" s="15"/>
    </row>
    <row r="781">
      <c r="F781" s="15"/>
      <c r="G781" s="15"/>
      <c r="H781" s="15"/>
      <c r="K781" s="16"/>
      <c r="R781" s="17"/>
      <c r="S781" s="17"/>
      <c r="T781" s="17"/>
      <c r="U781" s="17"/>
      <c r="V781" s="18"/>
      <c r="W781" s="18"/>
      <c r="X781" s="17"/>
      <c r="Y781" s="18"/>
      <c r="Z781" s="19"/>
      <c r="AB781" s="20"/>
      <c r="AC781" s="15"/>
      <c r="AD781" s="15"/>
    </row>
    <row r="782">
      <c r="F782" s="15"/>
      <c r="G782" s="15"/>
      <c r="H782" s="15"/>
      <c r="K782" s="16"/>
      <c r="R782" s="17"/>
      <c r="S782" s="17"/>
      <c r="T782" s="17"/>
      <c r="U782" s="17"/>
      <c r="V782" s="18"/>
      <c r="W782" s="18"/>
      <c r="X782" s="17"/>
      <c r="Y782" s="18"/>
      <c r="Z782" s="19"/>
      <c r="AB782" s="20"/>
      <c r="AC782" s="15"/>
      <c r="AD782" s="15"/>
    </row>
    <row r="783">
      <c r="F783" s="15"/>
      <c r="G783" s="15"/>
      <c r="H783" s="15"/>
      <c r="K783" s="16"/>
      <c r="R783" s="17"/>
      <c r="S783" s="17"/>
      <c r="T783" s="17"/>
      <c r="U783" s="17"/>
      <c r="V783" s="18"/>
      <c r="W783" s="18"/>
      <c r="X783" s="17"/>
      <c r="Y783" s="18"/>
      <c r="Z783" s="19"/>
      <c r="AB783" s="20"/>
      <c r="AC783" s="15"/>
      <c r="AD783" s="15"/>
    </row>
    <row r="784">
      <c r="F784" s="15"/>
      <c r="G784" s="15"/>
      <c r="H784" s="15"/>
      <c r="K784" s="16"/>
      <c r="R784" s="17"/>
      <c r="S784" s="17"/>
      <c r="T784" s="17"/>
      <c r="U784" s="17"/>
      <c r="V784" s="18"/>
      <c r="W784" s="18"/>
      <c r="X784" s="17"/>
      <c r="Y784" s="18"/>
      <c r="Z784" s="19"/>
      <c r="AB784" s="20"/>
      <c r="AC784" s="15"/>
      <c r="AD784" s="15"/>
    </row>
    <row r="785">
      <c r="F785" s="15"/>
      <c r="G785" s="15"/>
      <c r="H785" s="15"/>
      <c r="K785" s="16"/>
      <c r="R785" s="17"/>
      <c r="S785" s="17"/>
      <c r="T785" s="17"/>
      <c r="U785" s="17"/>
      <c r="V785" s="18"/>
      <c r="W785" s="18"/>
      <c r="X785" s="17"/>
      <c r="Y785" s="18"/>
      <c r="Z785" s="19"/>
      <c r="AB785" s="20"/>
      <c r="AC785" s="15"/>
      <c r="AD785" s="15"/>
    </row>
    <row r="786">
      <c r="F786" s="15"/>
      <c r="G786" s="15"/>
      <c r="H786" s="15"/>
      <c r="K786" s="16"/>
      <c r="R786" s="17"/>
      <c r="S786" s="17"/>
      <c r="T786" s="17"/>
      <c r="U786" s="17"/>
      <c r="V786" s="18"/>
      <c r="W786" s="18"/>
      <c r="X786" s="17"/>
      <c r="Y786" s="18"/>
      <c r="Z786" s="19"/>
      <c r="AB786" s="20"/>
      <c r="AC786" s="15"/>
      <c r="AD786" s="15"/>
    </row>
    <row r="787">
      <c r="F787" s="15"/>
      <c r="G787" s="15"/>
      <c r="H787" s="15"/>
      <c r="K787" s="16"/>
      <c r="R787" s="17"/>
      <c r="S787" s="17"/>
      <c r="T787" s="17"/>
      <c r="U787" s="17"/>
      <c r="V787" s="18"/>
      <c r="W787" s="18"/>
      <c r="X787" s="17"/>
      <c r="Y787" s="18"/>
      <c r="Z787" s="19"/>
      <c r="AB787" s="20"/>
      <c r="AC787" s="15"/>
      <c r="AD787" s="15"/>
    </row>
    <row r="788">
      <c r="F788" s="15"/>
      <c r="G788" s="15"/>
      <c r="H788" s="15"/>
      <c r="K788" s="16"/>
      <c r="R788" s="17"/>
      <c r="S788" s="17"/>
      <c r="T788" s="17"/>
      <c r="U788" s="17"/>
      <c r="V788" s="18"/>
      <c r="W788" s="18"/>
      <c r="X788" s="17"/>
      <c r="Y788" s="18"/>
      <c r="Z788" s="19"/>
      <c r="AB788" s="20"/>
      <c r="AC788" s="15"/>
      <c r="AD788" s="15"/>
    </row>
    <row r="789">
      <c r="F789" s="15"/>
      <c r="G789" s="15"/>
      <c r="H789" s="15"/>
      <c r="K789" s="16"/>
      <c r="R789" s="17"/>
      <c r="S789" s="17"/>
      <c r="T789" s="17"/>
      <c r="U789" s="17"/>
      <c r="V789" s="18"/>
      <c r="W789" s="18"/>
      <c r="X789" s="17"/>
      <c r="Y789" s="18"/>
      <c r="Z789" s="19"/>
      <c r="AB789" s="20"/>
      <c r="AC789" s="15"/>
      <c r="AD789" s="15"/>
    </row>
    <row r="790">
      <c r="F790" s="15"/>
      <c r="G790" s="15"/>
      <c r="H790" s="15"/>
      <c r="K790" s="16"/>
      <c r="R790" s="17"/>
      <c r="S790" s="17"/>
      <c r="T790" s="17"/>
      <c r="U790" s="17"/>
      <c r="V790" s="18"/>
      <c r="W790" s="18"/>
      <c r="X790" s="17"/>
      <c r="Y790" s="18"/>
      <c r="Z790" s="19"/>
      <c r="AB790" s="20"/>
      <c r="AC790" s="15"/>
      <c r="AD790" s="15"/>
    </row>
    <row r="791">
      <c r="F791" s="15"/>
      <c r="G791" s="15"/>
      <c r="H791" s="15"/>
      <c r="K791" s="16"/>
      <c r="R791" s="17"/>
      <c r="S791" s="17"/>
      <c r="T791" s="17"/>
      <c r="U791" s="17"/>
      <c r="V791" s="18"/>
      <c r="W791" s="18"/>
      <c r="X791" s="17"/>
      <c r="Y791" s="18"/>
      <c r="Z791" s="19"/>
      <c r="AB791" s="20"/>
      <c r="AC791" s="15"/>
      <c r="AD791" s="15"/>
    </row>
    <row r="792">
      <c r="F792" s="15"/>
      <c r="G792" s="15"/>
      <c r="H792" s="15"/>
      <c r="K792" s="16"/>
      <c r="R792" s="17"/>
      <c r="S792" s="17"/>
      <c r="T792" s="17"/>
      <c r="U792" s="17"/>
      <c r="V792" s="18"/>
      <c r="W792" s="18"/>
      <c r="X792" s="17"/>
      <c r="Y792" s="18"/>
      <c r="Z792" s="19"/>
      <c r="AB792" s="20"/>
      <c r="AC792" s="15"/>
      <c r="AD792" s="15"/>
    </row>
    <row r="793">
      <c r="F793" s="15"/>
      <c r="G793" s="15"/>
      <c r="H793" s="15"/>
      <c r="K793" s="16"/>
      <c r="R793" s="17"/>
      <c r="S793" s="17"/>
      <c r="T793" s="17"/>
      <c r="U793" s="17"/>
      <c r="V793" s="18"/>
      <c r="W793" s="18"/>
      <c r="X793" s="17"/>
      <c r="Y793" s="18"/>
      <c r="Z793" s="19"/>
      <c r="AB793" s="20"/>
      <c r="AC793" s="15"/>
      <c r="AD793" s="15"/>
    </row>
    <row r="794">
      <c r="F794" s="15"/>
      <c r="G794" s="15"/>
      <c r="H794" s="15"/>
      <c r="K794" s="16"/>
      <c r="R794" s="17"/>
      <c r="S794" s="17"/>
      <c r="T794" s="17"/>
      <c r="U794" s="17"/>
      <c r="V794" s="18"/>
      <c r="W794" s="18"/>
      <c r="X794" s="17"/>
      <c r="Y794" s="18"/>
      <c r="Z794" s="19"/>
      <c r="AB794" s="20"/>
      <c r="AC794" s="15"/>
      <c r="AD794" s="15"/>
    </row>
    <row r="795">
      <c r="F795" s="15"/>
      <c r="G795" s="15"/>
      <c r="H795" s="15"/>
      <c r="K795" s="16"/>
      <c r="R795" s="17"/>
      <c r="S795" s="17"/>
      <c r="T795" s="17"/>
      <c r="U795" s="17"/>
      <c r="V795" s="18"/>
      <c r="W795" s="18"/>
      <c r="X795" s="17"/>
      <c r="Y795" s="18"/>
      <c r="Z795" s="19"/>
      <c r="AB795" s="20"/>
      <c r="AC795" s="15"/>
      <c r="AD795" s="15"/>
    </row>
    <row r="796">
      <c r="F796" s="15"/>
      <c r="G796" s="15"/>
      <c r="H796" s="15"/>
      <c r="K796" s="16"/>
      <c r="R796" s="17"/>
      <c r="S796" s="17"/>
      <c r="T796" s="17"/>
      <c r="U796" s="17"/>
      <c r="V796" s="18"/>
      <c r="W796" s="18"/>
      <c r="X796" s="17"/>
      <c r="Y796" s="18"/>
      <c r="Z796" s="19"/>
      <c r="AB796" s="20"/>
      <c r="AC796" s="15"/>
      <c r="AD796" s="15"/>
    </row>
    <row r="797">
      <c r="F797" s="15"/>
      <c r="G797" s="15"/>
      <c r="H797" s="15"/>
      <c r="K797" s="16"/>
      <c r="R797" s="17"/>
      <c r="S797" s="17"/>
      <c r="T797" s="17"/>
      <c r="U797" s="17"/>
      <c r="V797" s="18"/>
      <c r="W797" s="18"/>
      <c r="X797" s="17"/>
      <c r="Y797" s="18"/>
      <c r="Z797" s="19"/>
      <c r="AB797" s="20"/>
      <c r="AC797" s="15"/>
      <c r="AD797" s="15"/>
    </row>
    <row r="798">
      <c r="F798" s="15"/>
      <c r="G798" s="15"/>
      <c r="H798" s="15"/>
      <c r="K798" s="16"/>
      <c r="R798" s="17"/>
      <c r="S798" s="17"/>
      <c r="T798" s="17"/>
      <c r="U798" s="17"/>
      <c r="V798" s="18"/>
      <c r="W798" s="18"/>
      <c r="X798" s="17"/>
      <c r="Y798" s="18"/>
      <c r="Z798" s="19"/>
      <c r="AB798" s="20"/>
      <c r="AC798" s="15"/>
      <c r="AD798" s="15"/>
    </row>
    <row r="799">
      <c r="F799" s="15"/>
      <c r="G799" s="15"/>
      <c r="H799" s="15"/>
      <c r="K799" s="16"/>
      <c r="R799" s="17"/>
      <c r="S799" s="17"/>
      <c r="T799" s="17"/>
      <c r="U799" s="17"/>
      <c r="V799" s="18"/>
      <c r="W799" s="18"/>
      <c r="X799" s="17"/>
      <c r="Y799" s="18"/>
      <c r="Z799" s="19"/>
      <c r="AB799" s="20"/>
      <c r="AC799" s="15"/>
      <c r="AD799" s="15"/>
    </row>
    <row r="800">
      <c r="F800" s="15"/>
      <c r="G800" s="15"/>
      <c r="H800" s="15"/>
      <c r="K800" s="16"/>
      <c r="R800" s="17"/>
      <c r="S800" s="17"/>
      <c r="T800" s="17"/>
      <c r="U800" s="17"/>
      <c r="V800" s="18"/>
      <c r="W800" s="18"/>
      <c r="X800" s="17"/>
      <c r="Y800" s="18"/>
      <c r="Z800" s="19"/>
      <c r="AB800" s="20"/>
      <c r="AC800" s="15"/>
      <c r="AD800" s="15"/>
    </row>
    <row r="801">
      <c r="F801" s="15"/>
      <c r="G801" s="15"/>
      <c r="H801" s="15"/>
      <c r="K801" s="16"/>
      <c r="R801" s="17"/>
      <c r="S801" s="17"/>
      <c r="T801" s="17"/>
      <c r="U801" s="17"/>
      <c r="V801" s="18"/>
      <c r="W801" s="18"/>
      <c r="X801" s="17"/>
      <c r="Y801" s="18"/>
      <c r="Z801" s="19"/>
      <c r="AB801" s="20"/>
      <c r="AC801" s="15"/>
      <c r="AD801" s="15"/>
    </row>
    <row r="802">
      <c r="F802" s="15"/>
      <c r="G802" s="15"/>
      <c r="H802" s="15"/>
      <c r="K802" s="16"/>
      <c r="R802" s="17"/>
      <c r="S802" s="17"/>
      <c r="T802" s="17"/>
      <c r="U802" s="17"/>
      <c r="V802" s="18"/>
      <c r="W802" s="18"/>
      <c r="X802" s="17"/>
      <c r="Y802" s="18"/>
      <c r="Z802" s="19"/>
      <c r="AB802" s="20"/>
      <c r="AC802" s="15"/>
      <c r="AD802" s="15"/>
    </row>
    <row r="803">
      <c r="F803" s="15"/>
      <c r="G803" s="15"/>
      <c r="H803" s="15"/>
      <c r="K803" s="16"/>
      <c r="R803" s="17"/>
      <c r="S803" s="17"/>
      <c r="T803" s="17"/>
      <c r="U803" s="17"/>
      <c r="V803" s="18"/>
      <c r="W803" s="18"/>
      <c r="X803" s="17"/>
      <c r="Y803" s="18"/>
      <c r="Z803" s="19"/>
      <c r="AB803" s="20"/>
      <c r="AC803" s="15"/>
      <c r="AD803" s="15"/>
    </row>
    <row r="804">
      <c r="F804" s="15"/>
      <c r="G804" s="15"/>
      <c r="H804" s="15"/>
      <c r="K804" s="16"/>
      <c r="R804" s="17"/>
      <c r="S804" s="17"/>
      <c r="T804" s="17"/>
      <c r="U804" s="17"/>
      <c r="V804" s="18"/>
      <c r="W804" s="18"/>
      <c r="X804" s="17"/>
      <c r="Y804" s="18"/>
      <c r="Z804" s="19"/>
      <c r="AB804" s="20"/>
      <c r="AC804" s="15"/>
      <c r="AD804" s="15"/>
    </row>
    <row r="805">
      <c r="F805" s="15"/>
      <c r="G805" s="15"/>
      <c r="H805" s="15"/>
      <c r="K805" s="16"/>
      <c r="R805" s="17"/>
      <c r="S805" s="17"/>
      <c r="T805" s="17"/>
      <c r="U805" s="17"/>
      <c r="V805" s="18"/>
      <c r="W805" s="18"/>
      <c r="X805" s="17"/>
      <c r="Y805" s="18"/>
      <c r="Z805" s="19"/>
      <c r="AB805" s="20"/>
      <c r="AC805" s="15"/>
      <c r="AD805" s="15"/>
    </row>
    <row r="806">
      <c r="F806" s="15"/>
      <c r="G806" s="15"/>
      <c r="H806" s="15"/>
      <c r="K806" s="16"/>
      <c r="R806" s="17"/>
      <c r="S806" s="17"/>
      <c r="T806" s="17"/>
      <c r="U806" s="17"/>
      <c r="V806" s="18"/>
      <c r="W806" s="18"/>
      <c r="X806" s="17"/>
      <c r="Y806" s="18"/>
      <c r="Z806" s="19"/>
      <c r="AB806" s="20"/>
      <c r="AC806" s="15"/>
      <c r="AD806" s="15"/>
    </row>
    <row r="807">
      <c r="F807" s="15"/>
      <c r="G807" s="15"/>
      <c r="H807" s="15"/>
      <c r="K807" s="16"/>
      <c r="R807" s="17"/>
      <c r="S807" s="17"/>
      <c r="T807" s="17"/>
      <c r="U807" s="17"/>
      <c r="V807" s="18"/>
      <c r="W807" s="18"/>
      <c r="X807" s="17"/>
      <c r="Y807" s="18"/>
      <c r="Z807" s="19"/>
      <c r="AB807" s="20"/>
      <c r="AC807" s="15"/>
      <c r="AD807" s="15"/>
    </row>
    <row r="808">
      <c r="F808" s="15"/>
      <c r="G808" s="15"/>
      <c r="H808" s="15"/>
      <c r="K808" s="16"/>
      <c r="R808" s="17"/>
      <c r="S808" s="17"/>
      <c r="T808" s="17"/>
      <c r="U808" s="17"/>
      <c r="V808" s="18"/>
      <c r="W808" s="18"/>
      <c r="X808" s="17"/>
      <c r="Y808" s="18"/>
      <c r="Z808" s="19"/>
      <c r="AB808" s="20"/>
      <c r="AC808" s="15"/>
      <c r="AD808" s="15"/>
    </row>
    <row r="809">
      <c r="F809" s="15"/>
      <c r="G809" s="15"/>
      <c r="H809" s="15"/>
      <c r="K809" s="16"/>
      <c r="R809" s="17"/>
      <c r="S809" s="17"/>
      <c r="T809" s="17"/>
      <c r="U809" s="17"/>
      <c r="V809" s="18"/>
      <c r="W809" s="18"/>
      <c r="X809" s="17"/>
      <c r="Y809" s="18"/>
      <c r="Z809" s="19"/>
      <c r="AB809" s="20"/>
      <c r="AC809" s="15"/>
      <c r="AD809" s="15"/>
    </row>
    <row r="810">
      <c r="F810" s="15"/>
      <c r="G810" s="15"/>
      <c r="H810" s="15"/>
      <c r="K810" s="16"/>
      <c r="R810" s="17"/>
      <c r="S810" s="17"/>
      <c r="T810" s="17"/>
      <c r="U810" s="17"/>
      <c r="V810" s="18"/>
      <c r="W810" s="18"/>
      <c r="X810" s="17"/>
      <c r="Y810" s="18"/>
      <c r="Z810" s="19"/>
      <c r="AB810" s="20"/>
      <c r="AC810" s="15"/>
      <c r="AD810" s="15"/>
    </row>
    <row r="811">
      <c r="F811" s="15"/>
      <c r="G811" s="15"/>
      <c r="H811" s="15"/>
      <c r="K811" s="16"/>
      <c r="R811" s="17"/>
      <c r="S811" s="17"/>
      <c r="T811" s="17"/>
      <c r="U811" s="17"/>
      <c r="V811" s="18"/>
      <c r="W811" s="18"/>
      <c r="X811" s="17"/>
      <c r="Y811" s="18"/>
      <c r="Z811" s="19"/>
      <c r="AB811" s="20"/>
      <c r="AC811" s="15"/>
      <c r="AD811" s="15"/>
    </row>
    <row r="812">
      <c r="F812" s="15"/>
      <c r="G812" s="15"/>
      <c r="H812" s="15"/>
      <c r="K812" s="16"/>
      <c r="R812" s="17"/>
      <c r="S812" s="17"/>
      <c r="T812" s="17"/>
      <c r="U812" s="17"/>
      <c r="V812" s="18"/>
      <c r="W812" s="18"/>
      <c r="X812" s="17"/>
      <c r="Y812" s="18"/>
      <c r="Z812" s="19"/>
      <c r="AB812" s="20"/>
      <c r="AC812" s="15"/>
      <c r="AD812" s="15"/>
    </row>
    <row r="813">
      <c r="F813" s="15"/>
      <c r="G813" s="15"/>
      <c r="H813" s="15"/>
      <c r="K813" s="16"/>
      <c r="R813" s="17"/>
      <c r="S813" s="17"/>
      <c r="T813" s="17"/>
      <c r="U813" s="17"/>
      <c r="V813" s="18"/>
      <c r="W813" s="18"/>
      <c r="X813" s="17"/>
      <c r="Y813" s="18"/>
      <c r="Z813" s="19"/>
      <c r="AB813" s="20"/>
      <c r="AC813" s="15"/>
      <c r="AD813" s="15"/>
    </row>
    <row r="814">
      <c r="F814" s="15"/>
      <c r="G814" s="15"/>
      <c r="H814" s="15"/>
      <c r="K814" s="16"/>
      <c r="R814" s="17"/>
      <c r="S814" s="17"/>
      <c r="T814" s="17"/>
      <c r="U814" s="17"/>
      <c r="V814" s="18"/>
      <c r="W814" s="18"/>
      <c r="X814" s="17"/>
      <c r="Y814" s="18"/>
      <c r="Z814" s="19"/>
      <c r="AB814" s="20"/>
      <c r="AC814" s="15"/>
      <c r="AD814" s="15"/>
    </row>
    <row r="815">
      <c r="F815" s="15"/>
      <c r="G815" s="15"/>
      <c r="H815" s="15"/>
      <c r="K815" s="16"/>
      <c r="R815" s="17"/>
      <c r="S815" s="17"/>
      <c r="T815" s="17"/>
      <c r="U815" s="17"/>
      <c r="V815" s="18"/>
      <c r="W815" s="18"/>
      <c r="X815" s="17"/>
      <c r="Y815" s="18"/>
      <c r="Z815" s="19"/>
      <c r="AB815" s="20"/>
      <c r="AC815" s="15"/>
      <c r="AD815" s="15"/>
    </row>
    <row r="816">
      <c r="F816" s="15"/>
      <c r="G816" s="15"/>
      <c r="H816" s="15"/>
      <c r="K816" s="16"/>
      <c r="R816" s="17"/>
      <c r="S816" s="17"/>
      <c r="T816" s="17"/>
      <c r="U816" s="17"/>
      <c r="V816" s="18"/>
      <c r="W816" s="18"/>
      <c r="X816" s="17"/>
      <c r="Y816" s="18"/>
      <c r="Z816" s="19"/>
      <c r="AB816" s="20"/>
      <c r="AC816" s="15"/>
      <c r="AD816" s="15"/>
    </row>
    <row r="817">
      <c r="F817" s="15"/>
      <c r="G817" s="15"/>
      <c r="H817" s="15"/>
      <c r="K817" s="16"/>
      <c r="R817" s="17"/>
      <c r="S817" s="17"/>
      <c r="T817" s="17"/>
      <c r="U817" s="17"/>
      <c r="V817" s="18"/>
      <c r="W817" s="18"/>
      <c r="X817" s="17"/>
      <c r="Y817" s="18"/>
      <c r="Z817" s="19"/>
      <c r="AB817" s="20"/>
      <c r="AC817" s="15"/>
      <c r="AD817" s="15"/>
    </row>
    <row r="818">
      <c r="F818" s="15"/>
      <c r="G818" s="15"/>
      <c r="H818" s="15"/>
      <c r="K818" s="16"/>
      <c r="R818" s="17"/>
      <c r="S818" s="17"/>
      <c r="T818" s="17"/>
      <c r="U818" s="17"/>
      <c r="V818" s="18"/>
      <c r="W818" s="18"/>
      <c r="X818" s="17"/>
      <c r="Y818" s="18"/>
      <c r="Z818" s="19"/>
      <c r="AB818" s="20"/>
      <c r="AC818" s="15"/>
      <c r="AD818" s="15"/>
    </row>
    <row r="819">
      <c r="F819" s="15"/>
      <c r="G819" s="15"/>
      <c r="H819" s="15"/>
      <c r="K819" s="16"/>
      <c r="R819" s="17"/>
      <c r="S819" s="17"/>
      <c r="T819" s="17"/>
      <c r="U819" s="17"/>
      <c r="V819" s="18"/>
      <c r="W819" s="18"/>
      <c r="X819" s="17"/>
      <c r="Y819" s="18"/>
      <c r="Z819" s="19"/>
      <c r="AB819" s="20"/>
      <c r="AC819" s="15"/>
      <c r="AD819" s="15"/>
    </row>
    <row r="820">
      <c r="F820" s="15"/>
      <c r="G820" s="15"/>
      <c r="H820" s="15"/>
      <c r="K820" s="16"/>
      <c r="R820" s="17"/>
      <c r="S820" s="17"/>
      <c r="T820" s="17"/>
      <c r="U820" s="17"/>
      <c r="V820" s="18"/>
      <c r="W820" s="18"/>
      <c r="X820" s="17"/>
      <c r="Y820" s="18"/>
      <c r="Z820" s="19"/>
      <c r="AB820" s="20"/>
      <c r="AC820" s="15"/>
      <c r="AD820" s="15"/>
    </row>
    <row r="821">
      <c r="F821" s="15"/>
      <c r="G821" s="15"/>
      <c r="H821" s="15"/>
      <c r="K821" s="16"/>
      <c r="R821" s="17"/>
      <c r="S821" s="17"/>
      <c r="T821" s="17"/>
      <c r="U821" s="17"/>
      <c r="V821" s="18"/>
      <c r="W821" s="18"/>
      <c r="X821" s="17"/>
      <c r="Y821" s="18"/>
      <c r="Z821" s="19"/>
      <c r="AB821" s="20"/>
      <c r="AC821" s="15"/>
      <c r="AD821" s="15"/>
    </row>
    <row r="822">
      <c r="F822" s="15"/>
      <c r="G822" s="15"/>
      <c r="H822" s="15"/>
      <c r="K822" s="16"/>
      <c r="R822" s="17"/>
      <c r="S822" s="17"/>
      <c r="T822" s="17"/>
      <c r="U822" s="17"/>
      <c r="V822" s="18"/>
      <c r="W822" s="18"/>
      <c r="X822" s="17"/>
      <c r="Y822" s="18"/>
      <c r="Z822" s="19"/>
      <c r="AB822" s="20"/>
      <c r="AC822" s="15"/>
      <c r="AD822" s="15"/>
    </row>
    <row r="823">
      <c r="F823" s="15"/>
      <c r="G823" s="15"/>
      <c r="H823" s="15"/>
      <c r="K823" s="16"/>
      <c r="R823" s="17"/>
      <c r="S823" s="17"/>
      <c r="T823" s="17"/>
      <c r="U823" s="17"/>
      <c r="V823" s="18"/>
      <c r="W823" s="18"/>
      <c r="X823" s="17"/>
      <c r="Y823" s="18"/>
      <c r="Z823" s="19"/>
      <c r="AB823" s="20"/>
      <c r="AC823" s="15"/>
      <c r="AD823" s="15"/>
    </row>
    <row r="824">
      <c r="F824" s="15"/>
      <c r="G824" s="15"/>
      <c r="H824" s="15"/>
      <c r="K824" s="16"/>
      <c r="R824" s="17"/>
      <c r="S824" s="17"/>
      <c r="T824" s="17"/>
      <c r="U824" s="17"/>
      <c r="V824" s="18"/>
      <c r="W824" s="18"/>
      <c r="X824" s="17"/>
      <c r="Y824" s="18"/>
      <c r="Z824" s="19"/>
      <c r="AB824" s="20"/>
      <c r="AC824" s="15"/>
      <c r="AD824" s="15"/>
    </row>
    <row r="825">
      <c r="F825" s="15"/>
      <c r="G825" s="15"/>
      <c r="H825" s="15"/>
      <c r="K825" s="16"/>
      <c r="R825" s="17"/>
      <c r="S825" s="17"/>
      <c r="T825" s="17"/>
      <c r="U825" s="17"/>
      <c r="V825" s="18"/>
      <c r="W825" s="18"/>
      <c r="X825" s="17"/>
      <c r="Y825" s="18"/>
      <c r="Z825" s="19"/>
      <c r="AB825" s="20"/>
      <c r="AC825" s="15"/>
      <c r="AD825" s="15"/>
    </row>
    <row r="826">
      <c r="F826" s="15"/>
      <c r="G826" s="15"/>
      <c r="H826" s="15"/>
      <c r="K826" s="16"/>
      <c r="R826" s="17"/>
      <c r="S826" s="17"/>
      <c r="T826" s="17"/>
      <c r="U826" s="17"/>
      <c r="V826" s="18"/>
      <c r="W826" s="18"/>
      <c r="X826" s="17"/>
      <c r="Y826" s="18"/>
      <c r="Z826" s="19"/>
      <c r="AB826" s="20"/>
      <c r="AC826" s="15"/>
      <c r="AD826" s="15"/>
    </row>
    <row r="827">
      <c r="F827" s="15"/>
      <c r="G827" s="15"/>
      <c r="H827" s="15"/>
      <c r="K827" s="16"/>
      <c r="R827" s="17"/>
      <c r="S827" s="17"/>
      <c r="T827" s="17"/>
      <c r="U827" s="17"/>
      <c r="V827" s="18"/>
      <c r="W827" s="18"/>
      <c r="X827" s="17"/>
      <c r="Y827" s="18"/>
      <c r="Z827" s="19"/>
      <c r="AB827" s="20"/>
      <c r="AC827" s="15"/>
      <c r="AD827" s="15"/>
    </row>
    <row r="828">
      <c r="F828" s="15"/>
      <c r="G828" s="15"/>
      <c r="H828" s="15"/>
      <c r="K828" s="16"/>
      <c r="R828" s="17"/>
      <c r="S828" s="17"/>
      <c r="T828" s="17"/>
      <c r="U828" s="17"/>
      <c r="V828" s="18"/>
      <c r="W828" s="18"/>
      <c r="X828" s="17"/>
      <c r="Y828" s="18"/>
      <c r="Z828" s="19"/>
      <c r="AB828" s="20"/>
      <c r="AC828" s="15"/>
      <c r="AD828" s="15"/>
    </row>
    <row r="829">
      <c r="F829" s="15"/>
      <c r="G829" s="15"/>
      <c r="H829" s="15"/>
      <c r="K829" s="16"/>
      <c r="R829" s="17"/>
      <c r="S829" s="17"/>
      <c r="T829" s="17"/>
      <c r="U829" s="17"/>
      <c r="V829" s="18"/>
      <c r="W829" s="18"/>
      <c r="X829" s="17"/>
      <c r="Y829" s="18"/>
      <c r="Z829" s="19"/>
      <c r="AB829" s="20"/>
      <c r="AC829" s="15"/>
      <c r="AD829" s="15"/>
    </row>
    <row r="830">
      <c r="F830" s="15"/>
      <c r="G830" s="15"/>
      <c r="H830" s="15"/>
      <c r="K830" s="16"/>
      <c r="R830" s="17"/>
      <c r="S830" s="17"/>
      <c r="T830" s="17"/>
      <c r="U830" s="17"/>
      <c r="V830" s="18"/>
      <c r="W830" s="18"/>
      <c r="X830" s="17"/>
      <c r="Y830" s="18"/>
      <c r="Z830" s="19"/>
      <c r="AB830" s="20"/>
      <c r="AC830" s="15"/>
      <c r="AD830" s="15"/>
    </row>
    <row r="831">
      <c r="F831" s="15"/>
      <c r="G831" s="15"/>
      <c r="H831" s="15"/>
      <c r="K831" s="16"/>
      <c r="R831" s="17"/>
      <c r="S831" s="17"/>
      <c r="T831" s="17"/>
      <c r="U831" s="17"/>
      <c r="V831" s="18"/>
      <c r="W831" s="18"/>
      <c r="X831" s="17"/>
      <c r="Y831" s="18"/>
      <c r="Z831" s="19"/>
      <c r="AB831" s="20"/>
      <c r="AC831" s="15"/>
      <c r="AD831" s="15"/>
    </row>
    <row r="832">
      <c r="F832" s="15"/>
      <c r="G832" s="15"/>
      <c r="H832" s="15"/>
      <c r="K832" s="16"/>
      <c r="R832" s="17"/>
      <c r="S832" s="17"/>
      <c r="T832" s="17"/>
      <c r="U832" s="17"/>
      <c r="V832" s="18"/>
      <c r="W832" s="18"/>
      <c r="X832" s="17"/>
      <c r="Y832" s="18"/>
      <c r="Z832" s="19"/>
      <c r="AB832" s="20"/>
      <c r="AC832" s="15"/>
      <c r="AD832" s="15"/>
    </row>
    <row r="833">
      <c r="F833" s="15"/>
      <c r="G833" s="15"/>
      <c r="H833" s="15"/>
      <c r="K833" s="16"/>
      <c r="R833" s="17"/>
      <c r="S833" s="17"/>
      <c r="T833" s="17"/>
      <c r="U833" s="17"/>
      <c r="V833" s="18"/>
      <c r="W833" s="18"/>
      <c r="X833" s="17"/>
      <c r="Y833" s="18"/>
      <c r="Z833" s="19"/>
      <c r="AB833" s="20"/>
      <c r="AC833" s="15"/>
      <c r="AD833" s="15"/>
    </row>
    <row r="834">
      <c r="F834" s="15"/>
      <c r="G834" s="15"/>
      <c r="H834" s="15"/>
      <c r="K834" s="16"/>
      <c r="R834" s="17"/>
      <c r="S834" s="17"/>
      <c r="T834" s="17"/>
      <c r="U834" s="17"/>
      <c r="V834" s="18"/>
      <c r="W834" s="18"/>
      <c r="X834" s="17"/>
      <c r="Y834" s="18"/>
      <c r="Z834" s="19"/>
      <c r="AB834" s="20"/>
      <c r="AC834" s="15"/>
      <c r="AD834" s="15"/>
    </row>
    <row r="835">
      <c r="F835" s="15"/>
      <c r="G835" s="15"/>
      <c r="H835" s="15"/>
      <c r="K835" s="16"/>
      <c r="R835" s="17"/>
      <c r="S835" s="17"/>
      <c r="T835" s="17"/>
      <c r="U835" s="17"/>
      <c r="V835" s="18"/>
      <c r="W835" s="18"/>
      <c r="X835" s="17"/>
      <c r="Y835" s="18"/>
      <c r="Z835" s="19"/>
      <c r="AB835" s="20"/>
      <c r="AC835" s="15"/>
      <c r="AD835" s="15"/>
    </row>
    <row r="836">
      <c r="F836" s="15"/>
      <c r="G836" s="15"/>
      <c r="H836" s="15"/>
      <c r="K836" s="16"/>
      <c r="R836" s="17"/>
      <c r="S836" s="17"/>
      <c r="T836" s="17"/>
      <c r="U836" s="17"/>
      <c r="V836" s="18"/>
      <c r="W836" s="18"/>
      <c r="X836" s="17"/>
      <c r="Y836" s="18"/>
      <c r="Z836" s="19"/>
      <c r="AB836" s="20"/>
      <c r="AC836" s="15"/>
      <c r="AD836" s="15"/>
    </row>
    <row r="837">
      <c r="F837" s="15"/>
      <c r="G837" s="15"/>
      <c r="H837" s="15"/>
      <c r="K837" s="16"/>
      <c r="R837" s="17"/>
      <c r="S837" s="17"/>
      <c r="T837" s="17"/>
      <c r="U837" s="17"/>
      <c r="V837" s="18"/>
      <c r="W837" s="18"/>
      <c r="X837" s="17"/>
      <c r="Y837" s="18"/>
      <c r="Z837" s="19"/>
      <c r="AB837" s="20"/>
      <c r="AC837" s="15"/>
      <c r="AD837" s="15"/>
    </row>
    <row r="838">
      <c r="F838" s="15"/>
      <c r="G838" s="15"/>
      <c r="H838" s="15"/>
      <c r="K838" s="16"/>
      <c r="R838" s="17"/>
      <c r="S838" s="17"/>
      <c r="T838" s="17"/>
      <c r="U838" s="17"/>
      <c r="V838" s="18"/>
      <c r="W838" s="18"/>
      <c r="X838" s="17"/>
      <c r="Y838" s="18"/>
      <c r="Z838" s="19"/>
      <c r="AB838" s="20"/>
      <c r="AC838" s="15"/>
      <c r="AD838" s="15"/>
    </row>
    <row r="839">
      <c r="F839" s="15"/>
      <c r="G839" s="15"/>
      <c r="H839" s="15"/>
      <c r="K839" s="16"/>
      <c r="R839" s="17"/>
      <c r="S839" s="17"/>
      <c r="T839" s="17"/>
      <c r="U839" s="17"/>
      <c r="V839" s="18"/>
      <c r="W839" s="18"/>
      <c r="X839" s="17"/>
      <c r="Y839" s="18"/>
      <c r="Z839" s="19"/>
      <c r="AB839" s="20"/>
      <c r="AC839" s="15"/>
      <c r="AD839" s="15"/>
    </row>
    <row r="840">
      <c r="F840" s="15"/>
      <c r="G840" s="15"/>
      <c r="H840" s="15"/>
      <c r="K840" s="16"/>
      <c r="R840" s="17"/>
      <c r="S840" s="17"/>
      <c r="T840" s="17"/>
      <c r="U840" s="17"/>
      <c r="V840" s="18"/>
      <c r="W840" s="18"/>
      <c r="X840" s="17"/>
      <c r="Y840" s="18"/>
      <c r="Z840" s="19"/>
      <c r="AB840" s="20"/>
      <c r="AC840" s="15"/>
      <c r="AD840" s="15"/>
    </row>
    <row r="841">
      <c r="F841" s="15"/>
      <c r="G841" s="15"/>
      <c r="H841" s="15"/>
      <c r="K841" s="16"/>
      <c r="R841" s="17"/>
      <c r="S841" s="17"/>
      <c r="T841" s="17"/>
      <c r="U841" s="17"/>
      <c r="V841" s="18"/>
      <c r="W841" s="18"/>
      <c r="X841" s="17"/>
      <c r="Y841" s="18"/>
      <c r="Z841" s="19"/>
      <c r="AB841" s="20"/>
      <c r="AC841" s="15"/>
      <c r="AD841" s="15"/>
    </row>
    <row r="842">
      <c r="F842" s="15"/>
      <c r="G842" s="15"/>
      <c r="H842" s="15"/>
      <c r="K842" s="16"/>
      <c r="R842" s="17"/>
      <c r="S842" s="17"/>
      <c r="T842" s="17"/>
      <c r="U842" s="17"/>
      <c r="V842" s="18"/>
      <c r="W842" s="18"/>
      <c r="X842" s="17"/>
      <c r="Y842" s="18"/>
      <c r="Z842" s="19"/>
      <c r="AB842" s="20"/>
      <c r="AC842" s="15"/>
      <c r="AD842" s="15"/>
    </row>
    <row r="843">
      <c r="F843" s="15"/>
      <c r="G843" s="15"/>
      <c r="H843" s="15"/>
      <c r="K843" s="16"/>
      <c r="R843" s="17"/>
      <c r="S843" s="17"/>
      <c r="T843" s="17"/>
      <c r="U843" s="17"/>
      <c r="V843" s="18"/>
      <c r="W843" s="18"/>
      <c r="X843" s="17"/>
      <c r="Y843" s="18"/>
      <c r="Z843" s="19"/>
      <c r="AB843" s="20"/>
      <c r="AC843" s="15"/>
      <c r="AD843" s="15"/>
    </row>
    <row r="844">
      <c r="F844" s="15"/>
      <c r="G844" s="15"/>
      <c r="H844" s="15"/>
      <c r="K844" s="16"/>
      <c r="R844" s="17"/>
      <c r="S844" s="17"/>
      <c r="T844" s="17"/>
      <c r="U844" s="17"/>
      <c r="V844" s="18"/>
      <c r="W844" s="18"/>
      <c r="X844" s="17"/>
      <c r="Y844" s="18"/>
      <c r="Z844" s="19"/>
      <c r="AB844" s="20"/>
      <c r="AC844" s="15"/>
      <c r="AD844" s="15"/>
    </row>
    <row r="845">
      <c r="F845" s="15"/>
      <c r="G845" s="15"/>
      <c r="H845" s="15"/>
      <c r="K845" s="16"/>
      <c r="R845" s="17"/>
      <c r="S845" s="17"/>
      <c r="T845" s="17"/>
      <c r="U845" s="17"/>
      <c r="V845" s="18"/>
      <c r="W845" s="18"/>
      <c r="X845" s="17"/>
      <c r="Y845" s="18"/>
      <c r="Z845" s="19"/>
      <c r="AB845" s="20"/>
      <c r="AC845" s="15"/>
      <c r="AD845" s="15"/>
    </row>
    <row r="846">
      <c r="F846" s="15"/>
      <c r="G846" s="15"/>
      <c r="H846" s="15"/>
      <c r="K846" s="16"/>
      <c r="R846" s="17"/>
      <c r="S846" s="17"/>
      <c r="T846" s="17"/>
      <c r="U846" s="17"/>
      <c r="V846" s="18"/>
      <c r="W846" s="18"/>
      <c r="X846" s="17"/>
      <c r="Y846" s="18"/>
      <c r="Z846" s="19"/>
      <c r="AB846" s="20"/>
      <c r="AC846" s="15"/>
      <c r="AD846" s="15"/>
    </row>
    <row r="847">
      <c r="F847" s="15"/>
      <c r="G847" s="15"/>
      <c r="H847" s="15"/>
      <c r="K847" s="16"/>
      <c r="R847" s="17"/>
      <c r="S847" s="17"/>
      <c r="T847" s="17"/>
      <c r="U847" s="17"/>
      <c r="V847" s="18"/>
      <c r="W847" s="18"/>
      <c r="X847" s="17"/>
      <c r="Y847" s="18"/>
      <c r="Z847" s="19"/>
      <c r="AB847" s="20"/>
      <c r="AC847" s="15"/>
      <c r="AD847" s="15"/>
    </row>
    <row r="848">
      <c r="F848" s="15"/>
      <c r="G848" s="15"/>
      <c r="H848" s="15"/>
      <c r="K848" s="16"/>
      <c r="R848" s="17"/>
      <c r="S848" s="17"/>
      <c r="T848" s="17"/>
      <c r="U848" s="17"/>
      <c r="V848" s="18"/>
      <c r="W848" s="18"/>
      <c r="X848" s="17"/>
      <c r="Y848" s="18"/>
      <c r="Z848" s="19"/>
      <c r="AB848" s="20"/>
      <c r="AC848" s="15"/>
      <c r="AD848" s="15"/>
    </row>
    <row r="849">
      <c r="F849" s="15"/>
      <c r="G849" s="15"/>
      <c r="H849" s="15"/>
      <c r="K849" s="16"/>
      <c r="R849" s="17"/>
      <c r="S849" s="17"/>
      <c r="T849" s="17"/>
      <c r="U849" s="17"/>
      <c r="V849" s="18"/>
      <c r="W849" s="18"/>
      <c r="X849" s="17"/>
      <c r="Y849" s="18"/>
      <c r="Z849" s="19"/>
      <c r="AB849" s="20"/>
      <c r="AC849" s="15"/>
      <c r="AD849" s="15"/>
    </row>
    <row r="850">
      <c r="F850" s="15"/>
      <c r="G850" s="15"/>
      <c r="H850" s="15"/>
      <c r="K850" s="16"/>
      <c r="R850" s="17"/>
      <c r="S850" s="17"/>
      <c r="T850" s="17"/>
      <c r="U850" s="17"/>
      <c r="V850" s="18"/>
      <c r="W850" s="18"/>
      <c r="X850" s="17"/>
      <c r="Y850" s="18"/>
      <c r="Z850" s="19"/>
      <c r="AB850" s="20"/>
      <c r="AC850" s="15"/>
      <c r="AD850" s="15"/>
    </row>
    <row r="851">
      <c r="F851" s="15"/>
      <c r="G851" s="15"/>
      <c r="H851" s="15"/>
      <c r="K851" s="16"/>
      <c r="R851" s="17"/>
      <c r="S851" s="17"/>
      <c r="T851" s="17"/>
      <c r="U851" s="17"/>
      <c r="V851" s="18"/>
      <c r="W851" s="18"/>
      <c r="X851" s="17"/>
      <c r="Y851" s="18"/>
      <c r="Z851" s="19"/>
      <c r="AB851" s="20"/>
      <c r="AC851" s="15"/>
      <c r="AD851" s="15"/>
    </row>
    <row r="852">
      <c r="F852" s="15"/>
      <c r="G852" s="15"/>
      <c r="H852" s="15"/>
      <c r="K852" s="16"/>
      <c r="R852" s="17"/>
      <c r="S852" s="17"/>
      <c r="T852" s="17"/>
      <c r="U852" s="17"/>
      <c r="V852" s="18"/>
      <c r="W852" s="18"/>
      <c r="X852" s="17"/>
      <c r="Y852" s="18"/>
      <c r="Z852" s="19"/>
      <c r="AB852" s="20"/>
      <c r="AC852" s="15"/>
      <c r="AD852" s="15"/>
    </row>
    <row r="853">
      <c r="F853" s="15"/>
      <c r="G853" s="15"/>
      <c r="H853" s="15"/>
      <c r="K853" s="16"/>
      <c r="R853" s="17"/>
      <c r="S853" s="17"/>
      <c r="T853" s="17"/>
      <c r="U853" s="17"/>
      <c r="V853" s="18"/>
      <c r="W853" s="18"/>
      <c r="X853" s="17"/>
      <c r="Y853" s="18"/>
      <c r="Z853" s="19"/>
      <c r="AB853" s="20"/>
      <c r="AC853" s="15"/>
      <c r="AD853" s="15"/>
    </row>
    <row r="854">
      <c r="F854" s="15"/>
      <c r="G854" s="15"/>
      <c r="H854" s="15"/>
      <c r="K854" s="16"/>
      <c r="R854" s="17"/>
      <c r="S854" s="17"/>
      <c r="T854" s="17"/>
      <c r="U854" s="17"/>
      <c r="V854" s="18"/>
      <c r="W854" s="18"/>
      <c r="X854" s="17"/>
      <c r="Y854" s="18"/>
      <c r="Z854" s="19"/>
      <c r="AB854" s="20"/>
      <c r="AC854" s="15"/>
      <c r="AD854" s="15"/>
    </row>
    <row r="855">
      <c r="F855" s="15"/>
      <c r="G855" s="15"/>
      <c r="H855" s="15"/>
      <c r="K855" s="16"/>
      <c r="R855" s="17"/>
      <c r="S855" s="17"/>
      <c r="T855" s="17"/>
      <c r="U855" s="17"/>
      <c r="V855" s="18"/>
      <c r="W855" s="18"/>
      <c r="X855" s="17"/>
      <c r="Y855" s="18"/>
      <c r="Z855" s="19"/>
      <c r="AB855" s="20"/>
      <c r="AC855" s="15"/>
      <c r="AD855" s="15"/>
    </row>
    <row r="856">
      <c r="F856" s="15"/>
      <c r="G856" s="15"/>
      <c r="H856" s="15"/>
      <c r="K856" s="16"/>
      <c r="R856" s="17"/>
      <c r="S856" s="17"/>
      <c r="T856" s="17"/>
      <c r="U856" s="17"/>
      <c r="V856" s="18"/>
      <c r="W856" s="18"/>
      <c r="X856" s="17"/>
      <c r="Y856" s="18"/>
      <c r="Z856" s="19"/>
      <c r="AB856" s="20"/>
      <c r="AC856" s="15"/>
      <c r="AD856" s="15"/>
    </row>
    <row r="857">
      <c r="F857" s="15"/>
      <c r="G857" s="15"/>
      <c r="H857" s="15"/>
      <c r="K857" s="16"/>
      <c r="R857" s="17"/>
      <c r="S857" s="17"/>
      <c r="T857" s="17"/>
      <c r="U857" s="17"/>
      <c r="V857" s="18"/>
      <c r="W857" s="18"/>
      <c r="X857" s="17"/>
      <c r="Y857" s="18"/>
      <c r="Z857" s="19"/>
      <c r="AB857" s="20"/>
      <c r="AC857" s="15"/>
      <c r="AD857" s="15"/>
    </row>
    <row r="858">
      <c r="F858" s="15"/>
      <c r="G858" s="15"/>
      <c r="H858" s="15"/>
      <c r="K858" s="16"/>
      <c r="R858" s="17"/>
      <c r="S858" s="17"/>
      <c r="T858" s="17"/>
      <c r="U858" s="17"/>
      <c r="V858" s="18"/>
      <c r="W858" s="18"/>
      <c r="X858" s="17"/>
      <c r="Y858" s="18"/>
      <c r="Z858" s="19"/>
      <c r="AB858" s="20"/>
      <c r="AC858" s="15"/>
      <c r="AD858" s="15"/>
    </row>
    <row r="859">
      <c r="F859" s="15"/>
      <c r="G859" s="15"/>
      <c r="H859" s="15"/>
      <c r="K859" s="16"/>
      <c r="R859" s="17"/>
      <c r="S859" s="17"/>
      <c r="T859" s="17"/>
      <c r="U859" s="17"/>
      <c r="V859" s="18"/>
      <c r="W859" s="18"/>
      <c r="X859" s="17"/>
      <c r="Y859" s="18"/>
      <c r="Z859" s="19"/>
      <c r="AB859" s="20"/>
      <c r="AC859" s="15"/>
      <c r="AD859" s="15"/>
    </row>
    <row r="860">
      <c r="F860" s="15"/>
      <c r="G860" s="15"/>
      <c r="H860" s="15"/>
      <c r="K860" s="16"/>
      <c r="R860" s="17"/>
      <c r="S860" s="17"/>
      <c r="T860" s="17"/>
      <c r="U860" s="17"/>
      <c r="V860" s="18"/>
      <c r="W860" s="18"/>
      <c r="X860" s="17"/>
      <c r="Y860" s="18"/>
      <c r="Z860" s="19"/>
      <c r="AB860" s="20"/>
      <c r="AC860" s="15"/>
      <c r="AD860" s="15"/>
    </row>
    <row r="861">
      <c r="F861" s="15"/>
      <c r="G861" s="15"/>
      <c r="H861" s="15"/>
      <c r="K861" s="16"/>
      <c r="R861" s="17"/>
      <c r="S861" s="17"/>
      <c r="T861" s="17"/>
      <c r="U861" s="17"/>
      <c r="V861" s="18"/>
      <c r="W861" s="18"/>
      <c r="X861" s="17"/>
      <c r="Y861" s="18"/>
      <c r="Z861" s="19"/>
      <c r="AB861" s="20"/>
      <c r="AC861" s="15"/>
      <c r="AD861" s="15"/>
    </row>
    <row r="862">
      <c r="F862" s="15"/>
      <c r="G862" s="15"/>
      <c r="H862" s="15"/>
      <c r="K862" s="16"/>
      <c r="R862" s="17"/>
      <c r="S862" s="17"/>
      <c r="T862" s="17"/>
      <c r="U862" s="17"/>
      <c r="V862" s="18"/>
      <c r="W862" s="18"/>
      <c r="X862" s="17"/>
      <c r="Y862" s="18"/>
      <c r="Z862" s="19"/>
      <c r="AB862" s="20"/>
      <c r="AC862" s="15"/>
      <c r="AD862" s="15"/>
    </row>
    <row r="863">
      <c r="F863" s="15"/>
      <c r="G863" s="15"/>
      <c r="H863" s="15"/>
      <c r="K863" s="16"/>
      <c r="R863" s="17"/>
      <c r="S863" s="17"/>
      <c r="T863" s="17"/>
      <c r="U863" s="17"/>
      <c r="V863" s="18"/>
      <c r="W863" s="18"/>
      <c r="X863" s="17"/>
      <c r="Y863" s="18"/>
      <c r="Z863" s="19"/>
      <c r="AB863" s="20"/>
      <c r="AC863" s="15"/>
      <c r="AD863" s="15"/>
    </row>
    <row r="864">
      <c r="F864" s="15"/>
      <c r="G864" s="15"/>
      <c r="H864" s="15"/>
      <c r="K864" s="16"/>
      <c r="R864" s="17"/>
      <c r="S864" s="17"/>
      <c r="T864" s="17"/>
      <c r="U864" s="17"/>
      <c r="V864" s="18"/>
      <c r="W864" s="18"/>
      <c r="X864" s="17"/>
      <c r="Y864" s="18"/>
      <c r="Z864" s="19"/>
      <c r="AB864" s="20"/>
      <c r="AC864" s="15"/>
      <c r="AD864" s="15"/>
    </row>
    <row r="865">
      <c r="F865" s="15"/>
      <c r="G865" s="15"/>
      <c r="H865" s="15"/>
      <c r="K865" s="16"/>
      <c r="R865" s="17"/>
      <c r="S865" s="17"/>
      <c r="T865" s="17"/>
      <c r="U865" s="17"/>
      <c r="V865" s="18"/>
      <c r="W865" s="18"/>
      <c r="X865" s="17"/>
      <c r="Y865" s="18"/>
      <c r="Z865" s="19"/>
      <c r="AB865" s="20"/>
      <c r="AC865" s="15"/>
      <c r="AD865" s="15"/>
    </row>
    <row r="866">
      <c r="F866" s="15"/>
      <c r="G866" s="15"/>
      <c r="H866" s="15"/>
      <c r="K866" s="16"/>
      <c r="R866" s="17"/>
      <c r="S866" s="17"/>
      <c r="T866" s="17"/>
      <c r="U866" s="17"/>
      <c r="V866" s="18"/>
      <c r="W866" s="18"/>
      <c r="X866" s="17"/>
      <c r="Y866" s="18"/>
      <c r="Z866" s="19"/>
      <c r="AB866" s="20"/>
      <c r="AC866" s="15"/>
      <c r="AD866" s="15"/>
    </row>
    <row r="867">
      <c r="F867" s="15"/>
      <c r="G867" s="15"/>
      <c r="H867" s="15"/>
      <c r="K867" s="16"/>
      <c r="R867" s="17"/>
      <c r="S867" s="17"/>
      <c r="T867" s="17"/>
      <c r="U867" s="17"/>
      <c r="V867" s="18"/>
      <c r="W867" s="18"/>
      <c r="X867" s="17"/>
      <c r="Y867" s="18"/>
      <c r="Z867" s="19"/>
      <c r="AB867" s="20"/>
      <c r="AC867" s="15"/>
      <c r="AD867" s="15"/>
    </row>
    <row r="868">
      <c r="F868" s="15"/>
      <c r="G868" s="15"/>
      <c r="H868" s="15"/>
      <c r="K868" s="16"/>
      <c r="R868" s="17"/>
      <c r="S868" s="17"/>
      <c r="T868" s="17"/>
      <c r="U868" s="17"/>
      <c r="V868" s="18"/>
      <c r="W868" s="18"/>
      <c r="X868" s="17"/>
      <c r="Y868" s="18"/>
      <c r="Z868" s="19"/>
      <c r="AB868" s="20"/>
      <c r="AC868" s="15"/>
      <c r="AD868" s="15"/>
    </row>
    <row r="869">
      <c r="F869" s="15"/>
      <c r="G869" s="15"/>
      <c r="H869" s="15"/>
      <c r="K869" s="16"/>
      <c r="R869" s="17"/>
      <c r="S869" s="17"/>
      <c r="T869" s="17"/>
      <c r="U869" s="17"/>
      <c r="V869" s="18"/>
      <c r="W869" s="18"/>
      <c r="X869" s="17"/>
      <c r="Y869" s="18"/>
      <c r="Z869" s="19"/>
      <c r="AB869" s="20"/>
      <c r="AC869" s="15"/>
      <c r="AD869" s="15"/>
    </row>
    <row r="870">
      <c r="F870" s="15"/>
      <c r="G870" s="15"/>
      <c r="H870" s="15"/>
      <c r="K870" s="16"/>
      <c r="R870" s="17"/>
      <c r="S870" s="17"/>
      <c r="T870" s="17"/>
      <c r="U870" s="17"/>
      <c r="V870" s="18"/>
      <c r="W870" s="18"/>
      <c r="X870" s="17"/>
      <c r="Y870" s="18"/>
      <c r="Z870" s="19"/>
      <c r="AB870" s="20"/>
      <c r="AC870" s="15"/>
      <c r="AD870" s="15"/>
    </row>
    <row r="871">
      <c r="F871" s="15"/>
      <c r="G871" s="15"/>
      <c r="H871" s="15"/>
      <c r="K871" s="16"/>
      <c r="R871" s="17"/>
      <c r="S871" s="17"/>
      <c r="T871" s="17"/>
      <c r="U871" s="17"/>
      <c r="V871" s="18"/>
      <c r="W871" s="18"/>
      <c r="X871" s="17"/>
      <c r="Y871" s="18"/>
      <c r="Z871" s="19"/>
      <c r="AB871" s="20"/>
      <c r="AC871" s="15"/>
      <c r="AD871" s="15"/>
    </row>
    <row r="872">
      <c r="F872" s="15"/>
      <c r="G872" s="15"/>
      <c r="H872" s="15"/>
      <c r="K872" s="16"/>
      <c r="R872" s="17"/>
      <c r="S872" s="17"/>
      <c r="T872" s="17"/>
      <c r="U872" s="17"/>
      <c r="V872" s="18"/>
      <c r="W872" s="18"/>
      <c r="X872" s="17"/>
      <c r="Y872" s="18"/>
      <c r="Z872" s="19"/>
      <c r="AB872" s="20"/>
      <c r="AC872" s="15"/>
      <c r="AD872" s="15"/>
    </row>
    <row r="873">
      <c r="F873" s="15"/>
      <c r="G873" s="15"/>
      <c r="H873" s="15"/>
      <c r="K873" s="16"/>
      <c r="R873" s="17"/>
      <c r="S873" s="17"/>
      <c r="T873" s="17"/>
      <c r="U873" s="17"/>
      <c r="V873" s="18"/>
      <c r="W873" s="18"/>
      <c r="X873" s="17"/>
      <c r="Y873" s="18"/>
      <c r="Z873" s="19"/>
      <c r="AB873" s="20"/>
      <c r="AC873" s="15"/>
      <c r="AD873" s="15"/>
    </row>
    <row r="874">
      <c r="F874" s="15"/>
      <c r="G874" s="15"/>
      <c r="H874" s="15"/>
      <c r="K874" s="16"/>
      <c r="R874" s="17"/>
      <c r="S874" s="17"/>
      <c r="T874" s="17"/>
      <c r="U874" s="17"/>
      <c r="V874" s="18"/>
      <c r="W874" s="18"/>
      <c r="X874" s="17"/>
      <c r="Y874" s="18"/>
      <c r="Z874" s="19"/>
      <c r="AB874" s="20"/>
      <c r="AC874" s="15"/>
      <c r="AD874" s="15"/>
    </row>
    <row r="875">
      <c r="F875" s="15"/>
      <c r="G875" s="15"/>
      <c r="H875" s="15"/>
      <c r="K875" s="16"/>
      <c r="R875" s="17"/>
      <c r="S875" s="17"/>
      <c r="T875" s="17"/>
      <c r="U875" s="17"/>
      <c r="V875" s="18"/>
      <c r="W875" s="18"/>
      <c r="X875" s="17"/>
      <c r="Y875" s="18"/>
      <c r="Z875" s="19"/>
      <c r="AB875" s="20"/>
      <c r="AC875" s="15"/>
      <c r="AD875" s="15"/>
    </row>
    <row r="876">
      <c r="F876" s="15"/>
      <c r="G876" s="15"/>
      <c r="H876" s="15"/>
      <c r="K876" s="16"/>
      <c r="R876" s="17"/>
      <c r="S876" s="17"/>
      <c r="T876" s="17"/>
      <c r="U876" s="17"/>
      <c r="V876" s="18"/>
      <c r="W876" s="18"/>
      <c r="X876" s="17"/>
      <c r="Y876" s="18"/>
      <c r="Z876" s="19"/>
      <c r="AB876" s="20"/>
      <c r="AC876" s="15"/>
      <c r="AD876" s="15"/>
    </row>
    <row r="877">
      <c r="F877" s="15"/>
      <c r="G877" s="15"/>
      <c r="H877" s="15"/>
      <c r="K877" s="16"/>
      <c r="R877" s="17"/>
      <c r="S877" s="17"/>
      <c r="T877" s="17"/>
      <c r="U877" s="17"/>
      <c r="V877" s="18"/>
      <c r="W877" s="18"/>
      <c r="X877" s="17"/>
      <c r="Y877" s="18"/>
      <c r="Z877" s="19"/>
      <c r="AB877" s="20"/>
      <c r="AC877" s="15"/>
      <c r="AD877" s="15"/>
    </row>
    <row r="878">
      <c r="F878" s="15"/>
      <c r="G878" s="15"/>
      <c r="H878" s="15"/>
      <c r="K878" s="16"/>
      <c r="R878" s="17"/>
      <c r="S878" s="17"/>
      <c r="T878" s="17"/>
      <c r="U878" s="17"/>
      <c r="V878" s="18"/>
      <c r="W878" s="18"/>
      <c r="X878" s="17"/>
      <c r="Y878" s="18"/>
      <c r="Z878" s="19"/>
      <c r="AB878" s="20"/>
      <c r="AC878" s="15"/>
      <c r="AD878" s="15"/>
    </row>
    <row r="879">
      <c r="F879" s="15"/>
      <c r="G879" s="15"/>
      <c r="H879" s="15"/>
      <c r="K879" s="16"/>
      <c r="R879" s="17"/>
      <c r="S879" s="17"/>
      <c r="T879" s="17"/>
      <c r="U879" s="17"/>
      <c r="V879" s="18"/>
      <c r="W879" s="18"/>
      <c r="X879" s="17"/>
      <c r="Y879" s="18"/>
      <c r="Z879" s="19"/>
      <c r="AB879" s="20"/>
      <c r="AC879" s="15"/>
      <c r="AD879" s="15"/>
    </row>
    <row r="880">
      <c r="F880" s="15"/>
      <c r="G880" s="15"/>
      <c r="H880" s="15"/>
      <c r="K880" s="16"/>
      <c r="R880" s="17"/>
      <c r="S880" s="17"/>
      <c r="T880" s="17"/>
      <c r="U880" s="17"/>
      <c r="V880" s="18"/>
      <c r="W880" s="18"/>
      <c r="X880" s="17"/>
      <c r="Y880" s="18"/>
      <c r="Z880" s="19"/>
      <c r="AB880" s="20"/>
      <c r="AC880" s="15"/>
      <c r="AD880" s="15"/>
    </row>
    <row r="881">
      <c r="F881" s="15"/>
      <c r="G881" s="15"/>
      <c r="H881" s="15"/>
      <c r="K881" s="16"/>
      <c r="R881" s="17"/>
      <c r="S881" s="17"/>
      <c r="T881" s="17"/>
      <c r="U881" s="17"/>
      <c r="V881" s="18"/>
      <c r="W881" s="18"/>
      <c r="X881" s="17"/>
      <c r="Y881" s="18"/>
      <c r="Z881" s="19"/>
      <c r="AB881" s="20"/>
      <c r="AC881" s="15"/>
      <c r="AD881" s="15"/>
    </row>
    <row r="882">
      <c r="F882" s="15"/>
      <c r="G882" s="15"/>
      <c r="H882" s="15"/>
      <c r="K882" s="16"/>
      <c r="R882" s="17"/>
      <c r="S882" s="17"/>
      <c r="T882" s="17"/>
      <c r="U882" s="17"/>
      <c r="V882" s="18"/>
      <c r="W882" s="18"/>
      <c r="X882" s="17"/>
      <c r="Y882" s="18"/>
      <c r="Z882" s="19"/>
      <c r="AB882" s="20"/>
      <c r="AC882" s="15"/>
      <c r="AD882" s="15"/>
    </row>
    <row r="883">
      <c r="F883" s="15"/>
      <c r="G883" s="15"/>
      <c r="H883" s="15"/>
      <c r="K883" s="16"/>
      <c r="R883" s="17"/>
      <c r="S883" s="17"/>
      <c r="T883" s="17"/>
      <c r="U883" s="17"/>
      <c r="V883" s="18"/>
      <c r="W883" s="18"/>
      <c r="X883" s="17"/>
      <c r="Y883" s="18"/>
      <c r="Z883" s="19"/>
      <c r="AB883" s="20"/>
      <c r="AC883" s="15"/>
      <c r="AD883" s="15"/>
    </row>
    <row r="884">
      <c r="F884" s="15"/>
      <c r="G884" s="15"/>
      <c r="H884" s="15"/>
      <c r="K884" s="16"/>
      <c r="R884" s="17"/>
      <c r="S884" s="17"/>
      <c r="T884" s="17"/>
      <c r="U884" s="17"/>
      <c r="V884" s="18"/>
      <c r="W884" s="18"/>
      <c r="X884" s="17"/>
      <c r="Y884" s="18"/>
      <c r="Z884" s="19"/>
      <c r="AB884" s="20"/>
      <c r="AC884" s="15"/>
      <c r="AD884" s="15"/>
    </row>
    <row r="885">
      <c r="F885" s="15"/>
      <c r="G885" s="15"/>
      <c r="H885" s="15"/>
      <c r="K885" s="16"/>
      <c r="R885" s="17"/>
      <c r="S885" s="17"/>
      <c r="T885" s="17"/>
      <c r="U885" s="17"/>
      <c r="V885" s="18"/>
      <c r="W885" s="18"/>
      <c r="X885" s="17"/>
      <c r="Y885" s="18"/>
      <c r="Z885" s="19"/>
      <c r="AB885" s="20"/>
      <c r="AC885" s="15"/>
      <c r="AD885" s="15"/>
    </row>
    <row r="886">
      <c r="F886" s="15"/>
      <c r="G886" s="15"/>
      <c r="H886" s="15"/>
      <c r="K886" s="16"/>
      <c r="R886" s="17"/>
      <c r="S886" s="17"/>
      <c r="T886" s="17"/>
      <c r="U886" s="17"/>
      <c r="V886" s="18"/>
      <c r="W886" s="18"/>
      <c r="X886" s="17"/>
      <c r="Y886" s="18"/>
      <c r="Z886" s="19"/>
      <c r="AB886" s="20"/>
      <c r="AC886" s="15"/>
      <c r="AD886" s="15"/>
    </row>
    <row r="887">
      <c r="F887" s="15"/>
      <c r="G887" s="15"/>
      <c r="H887" s="15"/>
      <c r="K887" s="16"/>
      <c r="R887" s="17"/>
      <c r="S887" s="17"/>
      <c r="T887" s="17"/>
      <c r="U887" s="17"/>
      <c r="V887" s="18"/>
      <c r="W887" s="18"/>
      <c r="X887" s="17"/>
      <c r="Y887" s="18"/>
      <c r="Z887" s="19"/>
      <c r="AB887" s="20"/>
      <c r="AC887" s="15"/>
      <c r="AD887" s="15"/>
    </row>
    <row r="888">
      <c r="F888" s="15"/>
      <c r="G888" s="15"/>
      <c r="H888" s="15"/>
      <c r="K888" s="16"/>
      <c r="R888" s="17"/>
      <c r="S888" s="17"/>
      <c r="T888" s="17"/>
      <c r="U888" s="17"/>
      <c r="V888" s="18"/>
      <c r="W888" s="18"/>
      <c r="X888" s="17"/>
      <c r="Y888" s="18"/>
      <c r="Z888" s="19"/>
      <c r="AB888" s="20"/>
      <c r="AC888" s="15"/>
      <c r="AD888" s="15"/>
    </row>
    <row r="889">
      <c r="F889" s="15"/>
      <c r="G889" s="15"/>
      <c r="H889" s="15"/>
      <c r="K889" s="16"/>
      <c r="R889" s="17"/>
      <c r="S889" s="17"/>
      <c r="T889" s="17"/>
      <c r="U889" s="17"/>
      <c r="V889" s="18"/>
      <c r="W889" s="18"/>
      <c r="X889" s="17"/>
      <c r="Y889" s="18"/>
      <c r="Z889" s="19"/>
      <c r="AB889" s="20"/>
      <c r="AC889" s="15"/>
      <c r="AD889" s="15"/>
    </row>
    <row r="890">
      <c r="F890" s="15"/>
      <c r="G890" s="15"/>
      <c r="H890" s="15"/>
      <c r="K890" s="16"/>
      <c r="R890" s="17"/>
      <c r="S890" s="17"/>
      <c r="T890" s="17"/>
      <c r="U890" s="17"/>
      <c r="V890" s="18"/>
      <c r="W890" s="18"/>
      <c r="X890" s="17"/>
      <c r="Y890" s="18"/>
      <c r="Z890" s="19"/>
      <c r="AB890" s="20"/>
      <c r="AC890" s="15"/>
      <c r="AD890" s="15"/>
    </row>
    <row r="891">
      <c r="F891" s="15"/>
      <c r="G891" s="15"/>
      <c r="H891" s="15"/>
      <c r="K891" s="16"/>
      <c r="R891" s="17"/>
      <c r="S891" s="17"/>
      <c r="T891" s="17"/>
      <c r="U891" s="17"/>
      <c r="V891" s="18"/>
      <c r="W891" s="18"/>
      <c r="X891" s="17"/>
      <c r="Y891" s="18"/>
      <c r="Z891" s="19"/>
      <c r="AB891" s="20"/>
      <c r="AC891" s="15"/>
      <c r="AD891" s="15"/>
    </row>
    <row r="892">
      <c r="F892" s="15"/>
      <c r="G892" s="15"/>
      <c r="H892" s="15"/>
      <c r="K892" s="16"/>
      <c r="R892" s="17"/>
      <c r="S892" s="17"/>
      <c r="T892" s="17"/>
      <c r="U892" s="17"/>
      <c r="V892" s="18"/>
      <c r="W892" s="18"/>
      <c r="X892" s="17"/>
      <c r="Y892" s="18"/>
      <c r="Z892" s="19"/>
      <c r="AB892" s="20"/>
      <c r="AC892" s="15"/>
      <c r="AD892" s="15"/>
    </row>
    <row r="893">
      <c r="F893" s="15"/>
      <c r="G893" s="15"/>
      <c r="H893" s="15"/>
      <c r="K893" s="16"/>
      <c r="R893" s="17"/>
      <c r="S893" s="17"/>
      <c r="T893" s="17"/>
      <c r="U893" s="17"/>
      <c r="V893" s="18"/>
      <c r="W893" s="18"/>
      <c r="X893" s="17"/>
      <c r="Y893" s="18"/>
      <c r="Z893" s="19"/>
      <c r="AB893" s="20"/>
      <c r="AC893" s="15"/>
      <c r="AD893" s="15"/>
    </row>
    <row r="894">
      <c r="F894" s="15"/>
      <c r="G894" s="15"/>
      <c r="H894" s="15"/>
      <c r="K894" s="16"/>
      <c r="R894" s="17"/>
      <c r="S894" s="17"/>
      <c r="T894" s="17"/>
      <c r="U894" s="17"/>
      <c r="V894" s="18"/>
      <c r="W894" s="18"/>
      <c r="X894" s="17"/>
      <c r="Y894" s="18"/>
      <c r="Z894" s="19"/>
      <c r="AB894" s="20"/>
      <c r="AC894" s="15"/>
      <c r="AD894" s="15"/>
    </row>
    <row r="895">
      <c r="F895" s="15"/>
      <c r="G895" s="15"/>
      <c r="H895" s="15"/>
      <c r="K895" s="16"/>
      <c r="R895" s="17"/>
      <c r="S895" s="17"/>
      <c r="T895" s="17"/>
      <c r="U895" s="17"/>
      <c r="V895" s="18"/>
      <c r="W895" s="18"/>
      <c r="X895" s="17"/>
      <c r="Y895" s="18"/>
      <c r="Z895" s="19"/>
      <c r="AB895" s="20"/>
      <c r="AC895" s="15"/>
      <c r="AD895" s="15"/>
    </row>
    <row r="896">
      <c r="F896" s="15"/>
      <c r="G896" s="15"/>
      <c r="H896" s="15"/>
      <c r="K896" s="16"/>
      <c r="R896" s="17"/>
      <c r="S896" s="17"/>
      <c r="T896" s="17"/>
      <c r="U896" s="17"/>
      <c r="V896" s="18"/>
      <c r="W896" s="18"/>
      <c r="X896" s="17"/>
      <c r="Y896" s="18"/>
      <c r="Z896" s="19"/>
      <c r="AB896" s="20"/>
      <c r="AC896" s="15"/>
      <c r="AD896" s="15"/>
    </row>
    <row r="897">
      <c r="F897" s="15"/>
      <c r="G897" s="15"/>
      <c r="H897" s="15"/>
      <c r="K897" s="16"/>
      <c r="R897" s="17"/>
      <c r="S897" s="17"/>
      <c r="T897" s="17"/>
      <c r="U897" s="17"/>
      <c r="V897" s="18"/>
      <c r="W897" s="18"/>
      <c r="X897" s="17"/>
      <c r="Y897" s="18"/>
      <c r="Z897" s="19"/>
      <c r="AB897" s="20"/>
      <c r="AC897" s="15"/>
      <c r="AD897" s="15"/>
    </row>
    <row r="898">
      <c r="F898" s="15"/>
      <c r="G898" s="15"/>
      <c r="H898" s="15"/>
      <c r="K898" s="16"/>
      <c r="R898" s="17"/>
      <c r="S898" s="17"/>
      <c r="T898" s="17"/>
      <c r="U898" s="17"/>
      <c r="V898" s="18"/>
      <c r="W898" s="18"/>
      <c r="X898" s="17"/>
      <c r="Y898" s="18"/>
      <c r="Z898" s="19"/>
      <c r="AB898" s="20"/>
      <c r="AC898" s="15"/>
      <c r="AD898" s="15"/>
    </row>
    <row r="899">
      <c r="F899" s="15"/>
      <c r="G899" s="15"/>
      <c r="H899" s="15"/>
      <c r="K899" s="16"/>
      <c r="R899" s="17"/>
      <c r="S899" s="17"/>
      <c r="T899" s="17"/>
      <c r="U899" s="17"/>
      <c r="V899" s="18"/>
      <c r="W899" s="18"/>
      <c r="X899" s="17"/>
      <c r="Y899" s="18"/>
      <c r="Z899" s="19"/>
      <c r="AB899" s="20"/>
      <c r="AC899" s="15"/>
      <c r="AD899" s="15"/>
    </row>
    <row r="900">
      <c r="F900" s="15"/>
      <c r="G900" s="15"/>
      <c r="H900" s="15"/>
      <c r="K900" s="16"/>
      <c r="R900" s="17"/>
      <c r="S900" s="17"/>
      <c r="T900" s="17"/>
      <c r="U900" s="17"/>
      <c r="V900" s="18"/>
      <c r="W900" s="18"/>
      <c r="X900" s="17"/>
      <c r="Y900" s="18"/>
      <c r="Z900" s="19"/>
      <c r="AB900" s="20"/>
      <c r="AC900" s="15"/>
      <c r="AD900" s="15"/>
    </row>
    <row r="901">
      <c r="F901" s="15"/>
      <c r="G901" s="15"/>
      <c r="H901" s="15"/>
      <c r="K901" s="16"/>
      <c r="R901" s="17"/>
      <c r="S901" s="17"/>
      <c r="T901" s="17"/>
      <c r="U901" s="17"/>
      <c r="V901" s="18"/>
      <c r="W901" s="18"/>
      <c r="X901" s="17"/>
      <c r="Y901" s="18"/>
      <c r="Z901" s="19"/>
      <c r="AB901" s="20"/>
      <c r="AC901" s="15"/>
      <c r="AD901" s="15"/>
    </row>
    <row r="902">
      <c r="F902" s="15"/>
      <c r="G902" s="15"/>
      <c r="H902" s="15"/>
      <c r="K902" s="16"/>
      <c r="R902" s="17"/>
      <c r="S902" s="17"/>
      <c r="T902" s="17"/>
      <c r="U902" s="17"/>
      <c r="V902" s="18"/>
      <c r="W902" s="18"/>
      <c r="X902" s="17"/>
      <c r="Y902" s="18"/>
      <c r="Z902" s="19"/>
      <c r="AB902" s="20"/>
      <c r="AC902" s="15"/>
      <c r="AD902" s="15"/>
    </row>
    <row r="903">
      <c r="F903" s="15"/>
      <c r="G903" s="15"/>
      <c r="H903" s="15"/>
      <c r="K903" s="16"/>
      <c r="R903" s="17"/>
      <c r="S903" s="17"/>
      <c r="T903" s="17"/>
      <c r="U903" s="17"/>
      <c r="V903" s="18"/>
      <c r="W903" s="18"/>
      <c r="X903" s="17"/>
      <c r="Y903" s="18"/>
      <c r="Z903" s="19"/>
      <c r="AB903" s="20"/>
      <c r="AC903" s="15"/>
      <c r="AD903" s="15"/>
    </row>
    <row r="904">
      <c r="F904" s="15"/>
      <c r="G904" s="15"/>
      <c r="H904" s="15"/>
      <c r="K904" s="16"/>
      <c r="R904" s="17"/>
      <c r="S904" s="17"/>
      <c r="T904" s="17"/>
      <c r="U904" s="17"/>
      <c r="V904" s="18"/>
      <c r="W904" s="18"/>
      <c r="X904" s="17"/>
      <c r="Y904" s="18"/>
      <c r="Z904" s="19"/>
      <c r="AB904" s="20"/>
      <c r="AC904" s="15"/>
      <c r="AD904" s="15"/>
    </row>
    <row r="905">
      <c r="F905" s="15"/>
      <c r="G905" s="15"/>
      <c r="H905" s="15"/>
      <c r="K905" s="16"/>
      <c r="R905" s="17"/>
      <c r="S905" s="17"/>
      <c r="T905" s="17"/>
      <c r="U905" s="17"/>
      <c r="V905" s="18"/>
      <c r="W905" s="18"/>
      <c r="X905" s="17"/>
      <c r="Y905" s="18"/>
      <c r="Z905" s="19"/>
      <c r="AB905" s="20"/>
      <c r="AC905" s="15"/>
      <c r="AD905" s="15"/>
    </row>
    <row r="906">
      <c r="F906" s="15"/>
      <c r="G906" s="15"/>
      <c r="H906" s="15"/>
      <c r="K906" s="16"/>
      <c r="R906" s="17"/>
      <c r="S906" s="17"/>
      <c r="T906" s="17"/>
      <c r="U906" s="17"/>
      <c r="V906" s="18"/>
      <c r="W906" s="18"/>
      <c r="X906" s="17"/>
      <c r="Y906" s="18"/>
      <c r="Z906" s="19"/>
      <c r="AB906" s="20"/>
      <c r="AC906" s="15"/>
      <c r="AD906" s="15"/>
    </row>
    <row r="907">
      <c r="F907" s="15"/>
      <c r="G907" s="15"/>
      <c r="H907" s="15"/>
      <c r="K907" s="16"/>
      <c r="R907" s="17"/>
      <c r="S907" s="17"/>
      <c r="T907" s="17"/>
      <c r="U907" s="17"/>
      <c r="V907" s="18"/>
      <c r="W907" s="18"/>
      <c r="X907" s="17"/>
      <c r="Y907" s="18"/>
      <c r="Z907" s="19"/>
      <c r="AB907" s="20"/>
      <c r="AC907" s="15"/>
      <c r="AD907" s="15"/>
    </row>
    <row r="908">
      <c r="F908" s="15"/>
      <c r="G908" s="15"/>
      <c r="H908" s="15"/>
      <c r="K908" s="16"/>
      <c r="R908" s="17"/>
      <c r="S908" s="17"/>
      <c r="T908" s="17"/>
      <c r="U908" s="17"/>
      <c r="V908" s="18"/>
      <c r="W908" s="18"/>
      <c r="X908" s="17"/>
      <c r="Y908" s="18"/>
      <c r="Z908" s="19"/>
      <c r="AB908" s="20"/>
      <c r="AC908" s="15"/>
      <c r="AD908" s="15"/>
    </row>
    <row r="909">
      <c r="F909" s="15"/>
      <c r="G909" s="15"/>
      <c r="H909" s="15"/>
      <c r="K909" s="16"/>
      <c r="R909" s="17"/>
      <c r="S909" s="17"/>
      <c r="T909" s="17"/>
      <c r="U909" s="17"/>
      <c r="V909" s="18"/>
      <c r="W909" s="18"/>
      <c r="X909" s="17"/>
      <c r="Y909" s="18"/>
      <c r="Z909" s="19"/>
      <c r="AB909" s="20"/>
      <c r="AC909" s="15"/>
      <c r="AD909" s="15"/>
    </row>
    <row r="910">
      <c r="F910" s="15"/>
      <c r="G910" s="15"/>
      <c r="H910" s="15"/>
      <c r="K910" s="16"/>
      <c r="R910" s="17"/>
      <c r="S910" s="17"/>
      <c r="T910" s="17"/>
      <c r="U910" s="17"/>
      <c r="V910" s="18"/>
      <c r="W910" s="18"/>
      <c r="X910" s="17"/>
      <c r="Y910" s="18"/>
      <c r="Z910" s="19"/>
      <c r="AB910" s="20"/>
      <c r="AC910" s="15"/>
      <c r="AD910" s="15"/>
    </row>
    <row r="911">
      <c r="F911" s="15"/>
      <c r="G911" s="15"/>
      <c r="H911" s="15"/>
      <c r="K911" s="16"/>
      <c r="R911" s="17"/>
      <c r="S911" s="17"/>
      <c r="T911" s="17"/>
      <c r="U911" s="17"/>
      <c r="V911" s="18"/>
      <c r="W911" s="18"/>
      <c r="X911" s="17"/>
      <c r="Y911" s="18"/>
      <c r="Z911" s="19"/>
      <c r="AB911" s="20"/>
      <c r="AC911" s="15"/>
      <c r="AD911" s="15"/>
    </row>
    <row r="912">
      <c r="F912" s="15"/>
      <c r="G912" s="15"/>
      <c r="H912" s="15"/>
      <c r="K912" s="16"/>
      <c r="R912" s="17"/>
      <c r="S912" s="17"/>
      <c r="T912" s="17"/>
      <c r="U912" s="17"/>
      <c r="V912" s="18"/>
      <c r="W912" s="18"/>
      <c r="X912" s="17"/>
      <c r="Y912" s="18"/>
      <c r="Z912" s="19"/>
      <c r="AB912" s="20"/>
      <c r="AC912" s="15"/>
      <c r="AD912" s="15"/>
    </row>
    <row r="913">
      <c r="F913" s="15"/>
      <c r="G913" s="15"/>
      <c r="H913" s="15"/>
      <c r="K913" s="16"/>
      <c r="R913" s="17"/>
      <c r="S913" s="17"/>
      <c r="T913" s="17"/>
      <c r="U913" s="17"/>
      <c r="V913" s="18"/>
      <c r="W913" s="18"/>
      <c r="X913" s="17"/>
      <c r="Y913" s="18"/>
      <c r="Z913" s="19"/>
      <c r="AB913" s="20"/>
      <c r="AC913" s="15"/>
      <c r="AD913" s="15"/>
    </row>
    <row r="914">
      <c r="F914" s="15"/>
      <c r="G914" s="15"/>
      <c r="H914" s="15"/>
      <c r="K914" s="16"/>
      <c r="R914" s="17"/>
      <c r="S914" s="17"/>
      <c r="T914" s="17"/>
      <c r="U914" s="17"/>
      <c r="V914" s="18"/>
      <c r="W914" s="18"/>
      <c r="X914" s="17"/>
      <c r="Y914" s="18"/>
      <c r="Z914" s="19"/>
      <c r="AB914" s="20"/>
      <c r="AC914" s="15"/>
      <c r="AD914" s="15"/>
    </row>
    <row r="915">
      <c r="F915" s="15"/>
      <c r="G915" s="15"/>
      <c r="H915" s="15"/>
      <c r="K915" s="16"/>
      <c r="R915" s="17"/>
      <c r="S915" s="17"/>
      <c r="T915" s="17"/>
      <c r="U915" s="17"/>
      <c r="V915" s="18"/>
      <c r="W915" s="18"/>
      <c r="X915" s="17"/>
      <c r="Y915" s="18"/>
      <c r="Z915" s="19"/>
      <c r="AB915" s="20"/>
      <c r="AC915" s="15"/>
      <c r="AD915" s="15"/>
    </row>
    <row r="916">
      <c r="F916" s="15"/>
      <c r="G916" s="15"/>
      <c r="H916" s="15"/>
      <c r="K916" s="16"/>
      <c r="R916" s="17"/>
      <c r="S916" s="17"/>
      <c r="T916" s="17"/>
      <c r="U916" s="17"/>
      <c r="V916" s="18"/>
      <c r="W916" s="18"/>
      <c r="X916" s="17"/>
      <c r="Y916" s="18"/>
      <c r="Z916" s="19"/>
      <c r="AB916" s="20"/>
      <c r="AC916" s="15"/>
      <c r="AD916" s="15"/>
    </row>
    <row r="917">
      <c r="F917" s="15"/>
      <c r="G917" s="15"/>
      <c r="H917" s="15"/>
      <c r="K917" s="16"/>
      <c r="R917" s="17"/>
      <c r="S917" s="17"/>
      <c r="T917" s="17"/>
      <c r="U917" s="17"/>
      <c r="V917" s="18"/>
      <c r="W917" s="18"/>
      <c r="X917" s="17"/>
      <c r="Y917" s="18"/>
      <c r="Z917" s="19"/>
      <c r="AB917" s="20"/>
      <c r="AC917" s="15"/>
      <c r="AD917" s="15"/>
    </row>
    <row r="918">
      <c r="F918" s="15"/>
      <c r="G918" s="15"/>
      <c r="H918" s="15"/>
      <c r="K918" s="16"/>
      <c r="R918" s="17"/>
      <c r="S918" s="17"/>
      <c r="T918" s="17"/>
      <c r="U918" s="17"/>
      <c r="V918" s="18"/>
      <c r="W918" s="18"/>
      <c r="X918" s="17"/>
      <c r="Y918" s="18"/>
      <c r="Z918" s="19"/>
      <c r="AB918" s="20"/>
      <c r="AC918" s="15"/>
      <c r="AD918" s="15"/>
    </row>
    <row r="919">
      <c r="F919" s="15"/>
      <c r="G919" s="15"/>
      <c r="H919" s="15"/>
      <c r="K919" s="16"/>
      <c r="R919" s="17"/>
      <c r="S919" s="17"/>
      <c r="T919" s="17"/>
      <c r="U919" s="17"/>
      <c r="V919" s="18"/>
      <c r="W919" s="18"/>
      <c r="X919" s="17"/>
      <c r="Y919" s="18"/>
      <c r="Z919" s="19"/>
      <c r="AB919" s="20"/>
      <c r="AC919" s="15"/>
      <c r="AD919" s="15"/>
    </row>
    <row r="920">
      <c r="F920" s="15"/>
      <c r="G920" s="15"/>
      <c r="H920" s="15"/>
      <c r="K920" s="16"/>
      <c r="R920" s="17"/>
      <c r="S920" s="17"/>
      <c r="T920" s="17"/>
      <c r="U920" s="17"/>
      <c r="V920" s="18"/>
      <c r="W920" s="18"/>
      <c r="X920" s="17"/>
      <c r="Y920" s="18"/>
      <c r="Z920" s="19"/>
      <c r="AB920" s="20"/>
      <c r="AC920" s="15"/>
      <c r="AD920" s="15"/>
    </row>
    <row r="921">
      <c r="F921" s="15"/>
      <c r="G921" s="15"/>
      <c r="H921" s="15"/>
      <c r="K921" s="16"/>
      <c r="R921" s="17"/>
      <c r="S921" s="17"/>
      <c r="T921" s="17"/>
      <c r="U921" s="17"/>
      <c r="V921" s="18"/>
      <c r="W921" s="18"/>
      <c r="X921" s="17"/>
      <c r="Y921" s="18"/>
      <c r="Z921" s="19"/>
      <c r="AB921" s="20"/>
      <c r="AC921" s="15"/>
      <c r="AD921" s="15"/>
    </row>
    <row r="922">
      <c r="F922" s="15"/>
      <c r="G922" s="15"/>
      <c r="H922" s="15"/>
      <c r="K922" s="16"/>
      <c r="R922" s="17"/>
      <c r="S922" s="17"/>
      <c r="T922" s="17"/>
      <c r="U922" s="17"/>
      <c r="V922" s="18"/>
      <c r="W922" s="18"/>
      <c r="X922" s="17"/>
      <c r="Y922" s="18"/>
      <c r="Z922" s="19"/>
      <c r="AB922" s="20"/>
      <c r="AC922" s="15"/>
      <c r="AD922" s="15"/>
    </row>
    <row r="923">
      <c r="F923" s="15"/>
      <c r="G923" s="15"/>
      <c r="H923" s="15"/>
      <c r="K923" s="16"/>
      <c r="R923" s="17"/>
      <c r="S923" s="17"/>
      <c r="T923" s="17"/>
      <c r="U923" s="17"/>
      <c r="V923" s="18"/>
      <c r="W923" s="18"/>
      <c r="X923" s="17"/>
      <c r="Y923" s="18"/>
      <c r="Z923" s="19"/>
      <c r="AB923" s="20"/>
      <c r="AC923" s="15"/>
      <c r="AD923" s="15"/>
    </row>
    <row r="924">
      <c r="F924" s="15"/>
      <c r="G924" s="15"/>
      <c r="H924" s="15"/>
      <c r="K924" s="16"/>
      <c r="R924" s="17"/>
      <c r="S924" s="17"/>
      <c r="T924" s="17"/>
      <c r="U924" s="17"/>
      <c r="V924" s="18"/>
      <c r="W924" s="18"/>
      <c r="X924" s="17"/>
      <c r="Y924" s="18"/>
      <c r="Z924" s="19"/>
      <c r="AB924" s="20"/>
      <c r="AC924" s="15"/>
      <c r="AD924" s="15"/>
    </row>
    <row r="925">
      <c r="F925" s="15"/>
      <c r="G925" s="15"/>
      <c r="H925" s="15"/>
      <c r="K925" s="16"/>
      <c r="R925" s="17"/>
      <c r="S925" s="17"/>
      <c r="T925" s="17"/>
      <c r="U925" s="17"/>
      <c r="V925" s="18"/>
      <c r="W925" s="18"/>
      <c r="X925" s="17"/>
      <c r="Y925" s="18"/>
      <c r="Z925" s="19"/>
      <c r="AB925" s="20"/>
      <c r="AC925" s="15"/>
      <c r="AD925" s="15"/>
    </row>
    <row r="926">
      <c r="F926" s="15"/>
      <c r="G926" s="15"/>
      <c r="H926" s="15"/>
      <c r="K926" s="16"/>
      <c r="R926" s="17"/>
      <c r="S926" s="17"/>
      <c r="T926" s="17"/>
      <c r="U926" s="17"/>
      <c r="V926" s="18"/>
      <c r="W926" s="18"/>
      <c r="X926" s="17"/>
      <c r="Y926" s="18"/>
      <c r="Z926" s="19"/>
      <c r="AB926" s="20"/>
      <c r="AC926" s="15"/>
      <c r="AD926" s="15"/>
    </row>
    <row r="927">
      <c r="F927" s="15"/>
      <c r="G927" s="15"/>
      <c r="H927" s="15"/>
      <c r="K927" s="16"/>
      <c r="R927" s="17"/>
      <c r="S927" s="17"/>
      <c r="T927" s="17"/>
      <c r="U927" s="17"/>
      <c r="V927" s="18"/>
      <c r="W927" s="18"/>
      <c r="X927" s="17"/>
      <c r="Y927" s="18"/>
      <c r="Z927" s="19"/>
      <c r="AB927" s="20"/>
      <c r="AC927" s="15"/>
      <c r="AD927" s="15"/>
    </row>
    <row r="928">
      <c r="F928" s="15"/>
      <c r="G928" s="15"/>
      <c r="H928" s="15"/>
      <c r="K928" s="16"/>
      <c r="R928" s="17"/>
      <c r="S928" s="17"/>
      <c r="T928" s="17"/>
      <c r="U928" s="17"/>
      <c r="V928" s="18"/>
      <c r="W928" s="18"/>
      <c r="X928" s="17"/>
      <c r="Y928" s="18"/>
      <c r="Z928" s="19"/>
      <c r="AB928" s="20"/>
      <c r="AC928" s="15"/>
      <c r="AD928" s="15"/>
    </row>
    <row r="929">
      <c r="F929" s="15"/>
      <c r="G929" s="15"/>
      <c r="H929" s="15"/>
      <c r="K929" s="16"/>
      <c r="R929" s="17"/>
      <c r="S929" s="17"/>
      <c r="T929" s="17"/>
      <c r="U929" s="17"/>
      <c r="V929" s="18"/>
      <c r="W929" s="18"/>
      <c r="X929" s="17"/>
      <c r="Y929" s="18"/>
      <c r="Z929" s="19"/>
      <c r="AB929" s="20"/>
      <c r="AC929" s="15"/>
      <c r="AD929" s="15"/>
    </row>
    <row r="930">
      <c r="F930" s="15"/>
      <c r="G930" s="15"/>
      <c r="H930" s="15"/>
      <c r="K930" s="16"/>
      <c r="R930" s="17"/>
      <c r="S930" s="17"/>
      <c r="T930" s="17"/>
      <c r="U930" s="17"/>
      <c r="V930" s="18"/>
      <c r="W930" s="18"/>
      <c r="X930" s="17"/>
      <c r="Y930" s="18"/>
      <c r="Z930" s="19"/>
      <c r="AB930" s="20"/>
      <c r="AC930" s="15"/>
      <c r="AD930" s="15"/>
    </row>
    <row r="931">
      <c r="F931" s="15"/>
      <c r="G931" s="15"/>
      <c r="H931" s="15"/>
      <c r="K931" s="16"/>
      <c r="R931" s="17"/>
      <c r="S931" s="17"/>
      <c r="T931" s="17"/>
      <c r="U931" s="17"/>
      <c r="V931" s="18"/>
      <c r="W931" s="18"/>
      <c r="X931" s="17"/>
      <c r="Y931" s="18"/>
      <c r="Z931" s="19"/>
      <c r="AB931" s="20"/>
      <c r="AC931" s="15"/>
      <c r="AD931" s="15"/>
    </row>
    <row r="932">
      <c r="F932" s="15"/>
      <c r="G932" s="15"/>
      <c r="H932" s="15"/>
      <c r="K932" s="16"/>
      <c r="R932" s="17"/>
      <c r="S932" s="17"/>
      <c r="T932" s="17"/>
      <c r="U932" s="17"/>
      <c r="V932" s="18"/>
      <c r="W932" s="18"/>
      <c r="X932" s="17"/>
      <c r="Y932" s="18"/>
      <c r="Z932" s="19"/>
      <c r="AB932" s="20"/>
      <c r="AC932" s="15"/>
      <c r="AD932" s="15"/>
    </row>
    <row r="933">
      <c r="F933" s="15"/>
      <c r="G933" s="15"/>
      <c r="H933" s="15"/>
      <c r="K933" s="16"/>
      <c r="R933" s="17"/>
      <c r="S933" s="17"/>
      <c r="T933" s="17"/>
      <c r="U933" s="17"/>
      <c r="V933" s="18"/>
      <c r="W933" s="18"/>
      <c r="X933" s="17"/>
      <c r="Y933" s="18"/>
      <c r="Z933" s="19"/>
      <c r="AB933" s="20"/>
      <c r="AC933" s="15"/>
      <c r="AD933" s="15"/>
    </row>
    <row r="934">
      <c r="F934" s="15"/>
      <c r="G934" s="15"/>
      <c r="H934" s="15"/>
      <c r="K934" s="16"/>
      <c r="R934" s="17"/>
      <c r="S934" s="17"/>
      <c r="T934" s="17"/>
      <c r="U934" s="17"/>
      <c r="V934" s="18"/>
      <c r="W934" s="18"/>
      <c r="X934" s="17"/>
      <c r="Y934" s="18"/>
      <c r="Z934" s="19"/>
      <c r="AB934" s="20"/>
      <c r="AC934" s="15"/>
      <c r="AD934" s="15"/>
    </row>
    <row r="935">
      <c r="F935" s="15"/>
      <c r="G935" s="15"/>
      <c r="H935" s="15"/>
      <c r="K935" s="16"/>
      <c r="R935" s="17"/>
      <c r="S935" s="17"/>
      <c r="T935" s="17"/>
      <c r="U935" s="17"/>
      <c r="V935" s="18"/>
      <c r="W935" s="18"/>
      <c r="X935" s="17"/>
      <c r="Y935" s="18"/>
      <c r="Z935" s="19"/>
      <c r="AB935" s="20"/>
      <c r="AC935" s="15"/>
      <c r="AD935" s="15"/>
    </row>
    <row r="936">
      <c r="F936" s="15"/>
      <c r="G936" s="15"/>
      <c r="H936" s="15"/>
      <c r="K936" s="16"/>
      <c r="R936" s="17"/>
      <c r="S936" s="17"/>
      <c r="T936" s="17"/>
      <c r="U936" s="17"/>
      <c r="V936" s="18"/>
      <c r="W936" s="18"/>
      <c r="X936" s="17"/>
      <c r="Y936" s="18"/>
      <c r="Z936" s="19"/>
      <c r="AB936" s="20"/>
      <c r="AC936" s="15"/>
      <c r="AD936" s="15"/>
    </row>
    <row r="937">
      <c r="F937" s="15"/>
      <c r="G937" s="15"/>
      <c r="H937" s="15"/>
      <c r="K937" s="16"/>
      <c r="R937" s="17"/>
      <c r="S937" s="17"/>
      <c r="T937" s="17"/>
      <c r="U937" s="17"/>
      <c r="V937" s="18"/>
      <c r="W937" s="18"/>
      <c r="X937" s="17"/>
      <c r="Y937" s="18"/>
      <c r="Z937" s="19"/>
      <c r="AB937" s="20"/>
      <c r="AC937" s="15"/>
      <c r="AD937" s="15"/>
    </row>
    <row r="938">
      <c r="F938" s="15"/>
      <c r="G938" s="15"/>
      <c r="H938" s="15"/>
      <c r="K938" s="16"/>
      <c r="R938" s="17"/>
      <c r="S938" s="17"/>
      <c r="T938" s="17"/>
      <c r="U938" s="17"/>
      <c r="V938" s="18"/>
      <c r="W938" s="18"/>
      <c r="X938" s="17"/>
      <c r="Y938" s="18"/>
      <c r="Z938" s="19"/>
      <c r="AB938" s="20"/>
      <c r="AC938" s="15"/>
      <c r="AD938" s="15"/>
    </row>
    <row r="939">
      <c r="F939" s="15"/>
      <c r="G939" s="15"/>
      <c r="H939" s="15"/>
      <c r="K939" s="16"/>
      <c r="R939" s="17"/>
      <c r="S939" s="17"/>
      <c r="T939" s="17"/>
      <c r="U939" s="17"/>
      <c r="V939" s="18"/>
      <c r="W939" s="18"/>
      <c r="X939" s="17"/>
      <c r="Y939" s="18"/>
      <c r="Z939" s="19"/>
      <c r="AB939" s="20"/>
      <c r="AC939" s="15"/>
      <c r="AD939" s="15"/>
    </row>
    <row r="940">
      <c r="F940" s="15"/>
      <c r="G940" s="15"/>
      <c r="H940" s="15"/>
      <c r="K940" s="16"/>
      <c r="R940" s="17"/>
      <c r="S940" s="17"/>
      <c r="T940" s="17"/>
      <c r="U940" s="17"/>
      <c r="V940" s="18"/>
      <c r="W940" s="18"/>
      <c r="X940" s="17"/>
      <c r="Y940" s="18"/>
      <c r="Z940" s="19"/>
      <c r="AB940" s="20"/>
      <c r="AC940" s="15"/>
      <c r="AD940" s="15"/>
    </row>
    <row r="941">
      <c r="F941" s="15"/>
      <c r="G941" s="15"/>
      <c r="H941" s="15"/>
      <c r="K941" s="16"/>
      <c r="R941" s="17"/>
      <c r="S941" s="17"/>
      <c r="T941" s="17"/>
      <c r="U941" s="17"/>
      <c r="V941" s="18"/>
      <c r="W941" s="18"/>
      <c r="X941" s="17"/>
      <c r="Y941" s="18"/>
      <c r="Z941" s="19"/>
      <c r="AB941" s="20"/>
      <c r="AC941" s="15"/>
      <c r="AD941" s="15"/>
    </row>
    <row r="942">
      <c r="F942" s="15"/>
      <c r="G942" s="15"/>
      <c r="H942" s="15"/>
      <c r="K942" s="16"/>
      <c r="R942" s="17"/>
      <c r="S942" s="17"/>
      <c r="T942" s="17"/>
      <c r="U942" s="17"/>
      <c r="V942" s="18"/>
      <c r="W942" s="18"/>
      <c r="X942" s="17"/>
      <c r="Y942" s="18"/>
      <c r="Z942" s="19"/>
      <c r="AB942" s="20"/>
      <c r="AC942" s="15"/>
      <c r="AD942" s="15"/>
    </row>
    <row r="943">
      <c r="F943" s="15"/>
      <c r="G943" s="15"/>
      <c r="H943" s="15"/>
      <c r="K943" s="16"/>
      <c r="R943" s="17"/>
      <c r="S943" s="17"/>
      <c r="T943" s="17"/>
      <c r="U943" s="17"/>
      <c r="V943" s="18"/>
      <c r="W943" s="18"/>
      <c r="X943" s="17"/>
      <c r="Y943" s="18"/>
      <c r="Z943" s="19"/>
      <c r="AB943" s="20"/>
      <c r="AC943" s="15"/>
      <c r="AD943" s="15"/>
    </row>
    <row r="944">
      <c r="F944" s="15"/>
      <c r="G944" s="15"/>
      <c r="H944" s="15"/>
      <c r="K944" s="16"/>
      <c r="R944" s="17"/>
      <c r="S944" s="17"/>
      <c r="T944" s="17"/>
      <c r="U944" s="17"/>
      <c r="V944" s="18"/>
      <c r="W944" s="18"/>
      <c r="X944" s="17"/>
      <c r="Y944" s="18"/>
      <c r="Z944" s="19"/>
      <c r="AB944" s="20"/>
      <c r="AC944" s="15"/>
      <c r="AD944" s="15"/>
    </row>
    <row r="945">
      <c r="F945" s="15"/>
      <c r="G945" s="15"/>
      <c r="H945" s="15"/>
      <c r="K945" s="16"/>
      <c r="R945" s="17"/>
      <c r="S945" s="17"/>
      <c r="T945" s="17"/>
      <c r="U945" s="17"/>
      <c r="V945" s="18"/>
      <c r="W945" s="18"/>
      <c r="X945" s="17"/>
      <c r="Y945" s="18"/>
      <c r="Z945" s="19"/>
      <c r="AB945" s="20"/>
      <c r="AC945" s="15"/>
      <c r="AD945" s="15"/>
    </row>
    <row r="946">
      <c r="F946" s="15"/>
      <c r="G946" s="15"/>
      <c r="H946" s="15"/>
      <c r="K946" s="16"/>
      <c r="R946" s="17"/>
      <c r="S946" s="17"/>
      <c r="T946" s="17"/>
      <c r="U946" s="17"/>
      <c r="V946" s="18"/>
      <c r="W946" s="18"/>
      <c r="X946" s="17"/>
      <c r="Y946" s="18"/>
      <c r="Z946" s="19"/>
      <c r="AB946" s="20"/>
      <c r="AC946" s="15"/>
      <c r="AD946" s="15"/>
    </row>
    <row r="947">
      <c r="F947" s="15"/>
      <c r="G947" s="15"/>
      <c r="H947" s="15"/>
      <c r="K947" s="16"/>
      <c r="R947" s="17"/>
      <c r="S947" s="17"/>
      <c r="T947" s="17"/>
      <c r="U947" s="17"/>
      <c r="V947" s="18"/>
      <c r="W947" s="18"/>
      <c r="X947" s="17"/>
      <c r="Y947" s="18"/>
      <c r="Z947" s="19"/>
      <c r="AB947" s="20"/>
      <c r="AC947" s="15"/>
      <c r="AD947" s="15"/>
    </row>
    <row r="948">
      <c r="F948" s="15"/>
      <c r="G948" s="15"/>
      <c r="H948" s="15"/>
      <c r="K948" s="16"/>
      <c r="R948" s="17"/>
      <c r="S948" s="17"/>
      <c r="T948" s="17"/>
      <c r="U948" s="17"/>
      <c r="V948" s="18"/>
      <c r="W948" s="18"/>
      <c r="X948" s="17"/>
      <c r="Y948" s="18"/>
      <c r="Z948" s="19"/>
      <c r="AB948" s="20"/>
      <c r="AC948" s="15"/>
      <c r="AD948" s="15"/>
    </row>
    <row r="949">
      <c r="F949" s="15"/>
      <c r="G949" s="15"/>
      <c r="H949" s="15"/>
      <c r="K949" s="16"/>
      <c r="R949" s="17"/>
      <c r="S949" s="17"/>
      <c r="T949" s="17"/>
      <c r="U949" s="17"/>
      <c r="V949" s="18"/>
      <c r="W949" s="18"/>
      <c r="X949" s="17"/>
      <c r="Y949" s="18"/>
      <c r="Z949" s="19"/>
      <c r="AB949" s="20"/>
      <c r="AC949" s="15"/>
      <c r="AD949" s="15"/>
    </row>
    <row r="950">
      <c r="F950" s="15"/>
      <c r="G950" s="15"/>
      <c r="H950" s="15"/>
      <c r="K950" s="16"/>
      <c r="R950" s="17"/>
      <c r="S950" s="17"/>
      <c r="T950" s="17"/>
      <c r="U950" s="17"/>
      <c r="V950" s="18"/>
      <c r="W950" s="18"/>
      <c r="X950" s="17"/>
      <c r="Y950" s="18"/>
      <c r="Z950" s="19"/>
      <c r="AB950" s="20"/>
      <c r="AC950" s="15"/>
      <c r="AD950" s="15"/>
    </row>
    <row r="951">
      <c r="F951" s="15"/>
      <c r="G951" s="15"/>
      <c r="H951" s="15"/>
      <c r="K951" s="16"/>
      <c r="R951" s="17"/>
      <c r="S951" s="17"/>
      <c r="T951" s="17"/>
      <c r="U951" s="17"/>
      <c r="V951" s="18"/>
      <c r="W951" s="18"/>
      <c r="X951" s="17"/>
      <c r="Y951" s="18"/>
      <c r="Z951" s="19"/>
      <c r="AB951" s="20"/>
      <c r="AC951" s="15"/>
      <c r="AD951" s="15"/>
    </row>
    <row r="952">
      <c r="F952" s="15"/>
      <c r="G952" s="15"/>
      <c r="H952" s="15"/>
      <c r="K952" s="16"/>
      <c r="R952" s="17"/>
      <c r="S952" s="17"/>
      <c r="T952" s="17"/>
      <c r="U952" s="17"/>
      <c r="V952" s="18"/>
      <c r="W952" s="18"/>
      <c r="X952" s="17"/>
      <c r="Y952" s="18"/>
      <c r="Z952" s="19"/>
      <c r="AB952" s="20"/>
      <c r="AC952" s="15"/>
      <c r="AD952" s="15"/>
    </row>
    <row r="953">
      <c r="F953" s="15"/>
      <c r="G953" s="15"/>
      <c r="H953" s="15"/>
      <c r="K953" s="16"/>
      <c r="R953" s="17"/>
      <c r="S953" s="17"/>
      <c r="T953" s="17"/>
      <c r="U953" s="17"/>
      <c r="V953" s="18"/>
      <c r="W953" s="18"/>
      <c r="X953" s="17"/>
      <c r="Y953" s="18"/>
      <c r="Z953" s="19"/>
      <c r="AB953" s="20"/>
      <c r="AC953" s="15"/>
      <c r="AD953" s="15"/>
    </row>
    <row r="954">
      <c r="F954" s="15"/>
      <c r="G954" s="15"/>
      <c r="H954" s="15"/>
      <c r="K954" s="16"/>
      <c r="R954" s="17"/>
      <c r="S954" s="17"/>
      <c r="T954" s="17"/>
      <c r="U954" s="17"/>
      <c r="V954" s="18"/>
      <c r="W954" s="18"/>
      <c r="X954" s="17"/>
      <c r="Y954" s="18"/>
      <c r="Z954" s="19"/>
      <c r="AB954" s="20"/>
      <c r="AC954" s="15"/>
      <c r="AD954" s="15"/>
    </row>
    <row r="955">
      <c r="F955" s="15"/>
      <c r="G955" s="15"/>
      <c r="H955" s="15"/>
      <c r="K955" s="16"/>
      <c r="R955" s="17"/>
      <c r="S955" s="17"/>
      <c r="T955" s="17"/>
      <c r="U955" s="17"/>
      <c r="V955" s="18"/>
      <c r="W955" s="18"/>
      <c r="X955" s="17"/>
      <c r="Y955" s="18"/>
      <c r="Z955" s="19"/>
      <c r="AB955" s="20"/>
      <c r="AC955" s="15"/>
      <c r="AD955" s="15"/>
    </row>
    <row r="956">
      <c r="F956" s="15"/>
      <c r="G956" s="15"/>
      <c r="H956" s="15"/>
      <c r="K956" s="16"/>
      <c r="R956" s="17"/>
      <c r="S956" s="17"/>
      <c r="T956" s="17"/>
      <c r="U956" s="17"/>
      <c r="V956" s="18"/>
      <c r="W956" s="18"/>
      <c r="X956" s="17"/>
      <c r="Y956" s="18"/>
      <c r="Z956" s="19"/>
      <c r="AB956" s="20"/>
      <c r="AC956" s="15"/>
      <c r="AD956" s="15"/>
    </row>
    <row r="957">
      <c r="F957" s="15"/>
      <c r="G957" s="15"/>
      <c r="H957" s="15"/>
      <c r="K957" s="16"/>
      <c r="R957" s="17"/>
      <c r="S957" s="17"/>
      <c r="T957" s="17"/>
      <c r="U957" s="17"/>
      <c r="V957" s="18"/>
      <c r="W957" s="18"/>
      <c r="X957" s="17"/>
      <c r="Y957" s="18"/>
      <c r="Z957" s="19"/>
      <c r="AB957" s="20"/>
      <c r="AC957" s="15"/>
      <c r="AD957" s="15"/>
    </row>
    <row r="958">
      <c r="F958" s="15"/>
      <c r="G958" s="15"/>
      <c r="H958" s="15"/>
      <c r="K958" s="16"/>
      <c r="R958" s="17"/>
      <c r="S958" s="17"/>
      <c r="T958" s="17"/>
      <c r="U958" s="17"/>
      <c r="V958" s="18"/>
      <c r="W958" s="18"/>
      <c r="X958" s="17"/>
      <c r="Y958" s="18"/>
      <c r="Z958" s="19"/>
      <c r="AB958" s="20"/>
      <c r="AC958" s="15"/>
      <c r="AD958" s="15"/>
    </row>
    <row r="959">
      <c r="F959" s="15"/>
      <c r="G959" s="15"/>
      <c r="H959" s="15"/>
      <c r="K959" s="16"/>
      <c r="R959" s="17"/>
      <c r="S959" s="17"/>
      <c r="T959" s="17"/>
      <c r="U959" s="17"/>
      <c r="V959" s="18"/>
      <c r="W959" s="18"/>
      <c r="X959" s="17"/>
      <c r="Y959" s="18"/>
      <c r="Z959" s="19"/>
      <c r="AB959" s="20"/>
      <c r="AC959" s="15"/>
      <c r="AD959" s="15"/>
    </row>
    <row r="960">
      <c r="F960" s="15"/>
      <c r="G960" s="15"/>
      <c r="H960" s="15"/>
      <c r="K960" s="16"/>
      <c r="R960" s="17"/>
      <c r="S960" s="17"/>
      <c r="T960" s="17"/>
      <c r="U960" s="17"/>
      <c r="V960" s="18"/>
      <c r="W960" s="18"/>
      <c r="X960" s="17"/>
      <c r="Y960" s="18"/>
      <c r="Z960" s="19"/>
      <c r="AB960" s="20"/>
      <c r="AC960" s="15"/>
      <c r="AD960" s="15"/>
    </row>
    <row r="961">
      <c r="F961" s="15"/>
      <c r="G961" s="15"/>
      <c r="H961" s="15"/>
      <c r="K961" s="16"/>
      <c r="R961" s="17"/>
      <c r="S961" s="17"/>
      <c r="T961" s="17"/>
      <c r="U961" s="17"/>
      <c r="V961" s="18"/>
      <c r="W961" s="18"/>
      <c r="X961" s="17"/>
      <c r="Y961" s="18"/>
      <c r="Z961" s="19"/>
      <c r="AB961" s="20"/>
      <c r="AC961" s="15"/>
      <c r="AD961" s="15"/>
    </row>
    <row r="962">
      <c r="F962" s="15"/>
      <c r="G962" s="15"/>
      <c r="H962" s="15"/>
      <c r="K962" s="16"/>
      <c r="R962" s="17"/>
      <c r="S962" s="17"/>
      <c r="T962" s="17"/>
      <c r="U962" s="17"/>
      <c r="V962" s="18"/>
      <c r="W962" s="18"/>
      <c r="X962" s="17"/>
      <c r="Y962" s="18"/>
      <c r="Z962" s="19"/>
      <c r="AB962" s="20"/>
      <c r="AC962" s="15"/>
      <c r="AD962" s="15"/>
    </row>
    <row r="963">
      <c r="F963" s="15"/>
      <c r="G963" s="15"/>
      <c r="H963" s="15"/>
      <c r="K963" s="16"/>
      <c r="R963" s="17"/>
      <c r="S963" s="17"/>
      <c r="T963" s="17"/>
      <c r="U963" s="17"/>
      <c r="V963" s="18"/>
      <c r="W963" s="18"/>
      <c r="X963" s="17"/>
      <c r="Y963" s="18"/>
      <c r="Z963" s="19"/>
      <c r="AB963" s="20"/>
      <c r="AC963" s="15"/>
      <c r="AD963" s="15"/>
    </row>
    <row r="964">
      <c r="F964" s="15"/>
      <c r="G964" s="15"/>
      <c r="H964" s="15"/>
      <c r="K964" s="16"/>
      <c r="R964" s="17"/>
      <c r="S964" s="17"/>
      <c r="T964" s="17"/>
      <c r="U964" s="17"/>
      <c r="V964" s="18"/>
      <c r="W964" s="18"/>
      <c r="X964" s="17"/>
      <c r="Y964" s="18"/>
      <c r="Z964" s="19"/>
      <c r="AB964" s="20"/>
      <c r="AC964" s="15"/>
      <c r="AD964" s="15"/>
    </row>
    <row r="965">
      <c r="F965" s="15"/>
      <c r="G965" s="15"/>
      <c r="H965" s="15"/>
      <c r="K965" s="16"/>
      <c r="R965" s="17"/>
      <c r="S965" s="17"/>
      <c r="T965" s="17"/>
      <c r="U965" s="17"/>
      <c r="V965" s="18"/>
      <c r="W965" s="18"/>
      <c r="X965" s="17"/>
      <c r="Y965" s="18"/>
      <c r="Z965" s="19"/>
      <c r="AB965" s="20"/>
      <c r="AC965" s="15"/>
      <c r="AD965" s="15"/>
    </row>
    <row r="966">
      <c r="F966" s="15"/>
      <c r="G966" s="15"/>
      <c r="H966" s="15"/>
      <c r="K966" s="16"/>
      <c r="R966" s="17"/>
      <c r="S966" s="17"/>
      <c r="T966" s="17"/>
      <c r="U966" s="17"/>
      <c r="V966" s="18"/>
      <c r="W966" s="18"/>
      <c r="X966" s="17"/>
      <c r="Y966" s="18"/>
      <c r="Z966" s="19"/>
      <c r="AB966" s="20"/>
      <c r="AC966" s="15"/>
      <c r="AD966" s="15"/>
    </row>
    <row r="967">
      <c r="F967" s="15"/>
      <c r="G967" s="15"/>
      <c r="H967" s="15"/>
      <c r="K967" s="16"/>
      <c r="R967" s="17"/>
      <c r="S967" s="17"/>
      <c r="T967" s="17"/>
      <c r="U967" s="17"/>
      <c r="V967" s="18"/>
      <c r="W967" s="18"/>
      <c r="X967" s="17"/>
      <c r="Y967" s="18"/>
      <c r="Z967" s="19"/>
      <c r="AB967" s="20"/>
      <c r="AC967" s="15"/>
      <c r="AD967" s="15"/>
    </row>
    <row r="968">
      <c r="F968" s="15"/>
      <c r="G968" s="15"/>
      <c r="H968" s="15"/>
      <c r="K968" s="16"/>
      <c r="R968" s="17"/>
      <c r="S968" s="17"/>
      <c r="T968" s="17"/>
      <c r="U968" s="17"/>
      <c r="V968" s="18"/>
      <c r="W968" s="18"/>
      <c r="X968" s="17"/>
      <c r="Y968" s="18"/>
      <c r="Z968" s="19"/>
      <c r="AB968" s="20"/>
      <c r="AC968" s="15"/>
      <c r="AD968" s="15"/>
    </row>
    <row r="969">
      <c r="F969" s="15"/>
      <c r="G969" s="15"/>
      <c r="H969" s="15"/>
      <c r="K969" s="16"/>
      <c r="R969" s="17"/>
      <c r="S969" s="17"/>
      <c r="T969" s="17"/>
      <c r="U969" s="17"/>
      <c r="V969" s="18"/>
      <c r="W969" s="18"/>
      <c r="X969" s="17"/>
      <c r="Y969" s="18"/>
      <c r="Z969" s="19"/>
      <c r="AB969" s="20"/>
      <c r="AC969" s="15"/>
      <c r="AD969" s="15"/>
    </row>
    <row r="970">
      <c r="F970" s="15"/>
      <c r="G970" s="15"/>
      <c r="H970" s="15"/>
      <c r="K970" s="16"/>
      <c r="R970" s="17"/>
      <c r="S970" s="17"/>
      <c r="T970" s="17"/>
      <c r="U970" s="17"/>
      <c r="V970" s="18"/>
      <c r="W970" s="18"/>
      <c r="X970" s="17"/>
      <c r="Y970" s="18"/>
      <c r="Z970" s="19"/>
      <c r="AB970" s="20"/>
      <c r="AC970" s="15"/>
      <c r="AD970" s="15"/>
    </row>
    <row r="971">
      <c r="F971" s="15"/>
      <c r="G971" s="15"/>
      <c r="H971" s="15"/>
      <c r="K971" s="16"/>
      <c r="R971" s="17"/>
      <c r="S971" s="17"/>
      <c r="T971" s="17"/>
      <c r="U971" s="17"/>
      <c r="V971" s="18"/>
      <c r="W971" s="18"/>
      <c r="X971" s="17"/>
      <c r="Y971" s="18"/>
      <c r="Z971" s="19"/>
      <c r="AB971" s="20"/>
      <c r="AC971" s="15"/>
      <c r="AD971" s="15"/>
    </row>
    <row r="972">
      <c r="F972" s="15"/>
      <c r="G972" s="15"/>
      <c r="H972" s="15"/>
      <c r="K972" s="16"/>
      <c r="R972" s="17"/>
      <c r="S972" s="17"/>
      <c r="T972" s="17"/>
      <c r="U972" s="17"/>
      <c r="V972" s="18"/>
      <c r="W972" s="18"/>
      <c r="X972" s="17"/>
      <c r="Y972" s="18"/>
      <c r="Z972" s="19"/>
      <c r="AB972" s="20"/>
      <c r="AC972" s="15"/>
      <c r="AD972" s="15"/>
    </row>
    <row r="973">
      <c r="F973" s="15"/>
      <c r="G973" s="15"/>
      <c r="H973" s="15"/>
      <c r="K973" s="16"/>
      <c r="R973" s="17"/>
      <c r="S973" s="17"/>
      <c r="T973" s="17"/>
      <c r="U973" s="17"/>
      <c r="V973" s="18"/>
      <c r="W973" s="18"/>
      <c r="X973" s="17"/>
      <c r="Y973" s="18"/>
      <c r="Z973" s="19"/>
      <c r="AB973" s="20"/>
      <c r="AC973" s="15"/>
      <c r="AD973" s="15"/>
    </row>
    <row r="974">
      <c r="F974" s="15"/>
      <c r="G974" s="15"/>
      <c r="H974" s="15"/>
      <c r="K974" s="16"/>
      <c r="R974" s="17"/>
      <c r="S974" s="17"/>
      <c r="T974" s="17"/>
      <c r="U974" s="17"/>
      <c r="V974" s="18"/>
      <c r="W974" s="18"/>
      <c r="X974" s="17"/>
      <c r="Y974" s="18"/>
      <c r="Z974" s="19"/>
      <c r="AB974" s="20"/>
      <c r="AC974" s="15"/>
      <c r="AD974" s="15"/>
    </row>
    <row r="975">
      <c r="F975" s="15"/>
      <c r="G975" s="15"/>
      <c r="H975" s="15"/>
      <c r="K975" s="16"/>
      <c r="R975" s="17"/>
      <c r="S975" s="17"/>
      <c r="T975" s="17"/>
      <c r="U975" s="17"/>
      <c r="V975" s="18"/>
      <c r="W975" s="18"/>
      <c r="X975" s="17"/>
      <c r="Y975" s="18"/>
      <c r="Z975" s="19"/>
      <c r="AB975" s="20"/>
      <c r="AC975" s="15"/>
      <c r="AD975" s="15"/>
    </row>
    <row r="976">
      <c r="F976" s="15"/>
      <c r="G976" s="15"/>
      <c r="H976" s="15"/>
      <c r="K976" s="16"/>
      <c r="R976" s="17"/>
      <c r="S976" s="17"/>
      <c r="T976" s="17"/>
      <c r="U976" s="17"/>
      <c r="V976" s="18"/>
      <c r="W976" s="18"/>
      <c r="X976" s="17"/>
      <c r="Y976" s="18"/>
      <c r="Z976" s="19"/>
      <c r="AB976" s="20"/>
      <c r="AC976" s="15"/>
      <c r="AD976" s="15"/>
    </row>
    <row r="977">
      <c r="F977" s="15"/>
      <c r="G977" s="15"/>
      <c r="H977" s="15"/>
      <c r="K977" s="16"/>
      <c r="R977" s="17"/>
      <c r="S977" s="17"/>
      <c r="T977" s="17"/>
      <c r="U977" s="17"/>
      <c r="V977" s="18"/>
      <c r="W977" s="18"/>
      <c r="X977" s="17"/>
      <c r="Y977" s="18"/>
      <c r="Z977" s="19"/>
      <c r="AB977" s="20"/>
      <c r="AC977" s="15"/>
      <c r="AD977" s="15"/>
    </row>
    <row r="978">
      <c r="F978" s="15"/>
      <c r="G978" s="15"/>
      <c r="H978" s="15"/>
      <c r="K978" s="16"/>
      <c r="R978" s="17"/>
      <c r="S978" s="17"/>
      <c r="T978" s="17"/>
      <c r="U978" s="17"/>
      <c r="V978" s="18"/>
      <c r="W978" s="18"/>
      <c r="X978" s="17"/>
      <c r="Y978" s="18"/>
      <c r="Z978" s="19"/>
      <c r="AB978" s="20"/>
      <c r="AC978" s="15"/>
      <c r="AD978" s="15"/>
    </row>
    <row r="979">
      <c r="F979" s="15"/>
      <c r="G979" s="15"/>
      <c r="H979" s="15"/>
      <c r="K979" s="16"/>
      <c r="R979" s="17"/>
      <c r="S979" s="17"/>
      <c r="T979" s="17"/>
      <c r="U979" s="17"/>
      <c r="V979" s="18"/>
      <c r="W979" s="18"/>
      <c r="X979" s="17"/>
      <c r="Y979" s="18"/>
      <c r="Z979" s="19"/>
      <c r="AB979" s="20"/>
      <c r="AC979" s="15"/>
      <c r="AD979" s="15"/>
    </row>
    <row r="980">
      <c r="F980" s="15"/>
      <c r="G980" s="15"/>
      <c r="H980" s="15"/>
      <c r="K980" s="16"/>
      <c r="R980" s="17"/>
      <c r="S980" s="17"/>
      <c r="T980" s="17"/>
      <c r="U980" s="17"/>
      <c r="V980" s="18"/>
      <c r="W980" s="18"/>
      <c r="X980" s="17"/>
      <c r="Y980" s="18"/>
      <c r="Z980" s="19"/>
      <c r="AB980" s="20"/>
      <c r="AC980" s="15"/>
      <c r="AD980" s="15"/>
    </row>
    <row r="981">
      <c r="F981" s="15"/>
      <c r="G981" s="15"/>
      <c r="H981" s="15"/>
      <c r="K981" s="16"/>
      <c r="R981" s="17"/>
      <c r="S981" s="17"/>
      <c r="T981" s="17"/>
      <c r="U981" s="17"/>
      <c r="V981" s="18"/>
      <c r="W981" s="18"/>
      <c r="X981" s="17"/>
      <c r="Y981" s="18"/>
      <c r="Z981" s="19"/>
      <c r="AB981" s="20"/>
      <c r="AC981" s="15"/>
      <c r="AD981" s="15"/>
    </row>
    <row r="982">
      <c r="F982" s="15"/>
      <c r="G982" s="15"/>
      <c r="H982" s="15"/>
      <c r="K982" s="16"/>
      <c r="R982" s="17"/>
      <c r="S982" s="17"/>
      <c r="T982" s="17"/>
      <c r="U982" s="17"/>
      <c r="V982" s="18"/>
      <c r="W982" s="18"/>
      <c r="X982" s="17"/>
      <c r="Y982" s="18"/>
      <c r="Z982" s="19"/>
      <c r="AB982" s="20"/>
      <c r="AC982" s="15"/>
      <c r="AD982" s="15"/>
    </row>
    <row r="983">
      <c r="F983" s="15"/>
      <c r="G983" s="15"/>
      <c r="H983" s="15"/>
      <c r="K983" s="16"/>
      <c r="R983" s="17"/>
      <c r="S983" s="17"/>
      <c r="T983" s="17"/>
      <c r="U983" s="17"/>
      <c r="V983" s="18"/>
      <c r="W983" s="18"/>
      <c r="X983" s="17"/>
      <c r="Y983" s="18"/>
      <c r="Z983" s="19"/>
      <c r="AB983" s="20"/>
      <c r="AC983" s="15"/>
      <c r="AD983" s="15"/>
    </row>
    <row r="984">
      <c r="F984" s="15"/>
      <c r="G984" s="15"/>
      <c r="H984" s="15"/>
      <c r="K984" s="16"/>
      <c r="R984" s="17"/>
      <c r="S984" s="17"/>
      <c r="T984" s="17"/>
      <c r="U984" s="17"/>
      <c r="V984" s="18"/>
      <c r="W984" s="18"/>
      <c r="X984" s="17"/>
      <c r="Y984" s="18"/>
      <c r="Z984" s="19"/>
      <c r="AB984" s="20"/>
      <c r="AC984" s="15"/>
      <c r="AD984" s="15"/>
    </row>
    <row r="985">
      <c r="F985" s="15"/>
      <c r="G985" s="15"/>
      <c r="H985" s="15"/>
      <c r="K985" s="16"/>
      <c r="R985" s="17"/>
      <c r="S985" s="17"/>
      <c r="T985" s="17"/>
      <c r="U985" s="17"/>
      <c r="V985" s="18"/>
      <c r="W985" s="18"/>
      <c r="X985" s="17"/>
      <c r="Y985" s="18"/>
      <c r="Z985" s="19"/>
      <c r="AB985" s="20"/>
      <c r="AC985" s="15"/>
      <c r="AD985" s="15"/>
    </row>
    <row r="986">
      <c r="F986" s="15"/>
      <c r="G986" s="15"/>
      <c r="H986" s="15"/>
      <c r="K986" s="16"/>
      <c r="R986" s="17"/>
      <c r="S986" s="17"/>
      <c r="T986" s="17"/>
      <c r="U986" s="17"/>
      <c r="V986" s="18"/>
      <c r="W986" s="18"/>
      <c r="X986" s="17"/>
      <c r="Y986" s="18"/>
      <c r="Z986" s="19"/>
      <c r="AB986" s="20"/>
      <c r="AC986" s="15"/>
      <c r="AD986" s="15"/>
    </row>
    <row r="987">
      <c r="F987" s="15"/>
      <c r="G987" s="15"/>
      <c r="H987" s="15"/>
      <c r="K987" s="16"/>
      <c r="R987" s="17"/>
      <c r="S987" s="17"/>
      <c r="T987" s="17"/>
      <c r="U987" s="17"/>
      <c r="V987" s="18"/>
      <c r="W987" s="18"/>
      <c r="X987" s="17"/>
      <c r="Y987" s="18"/>
      <c r="Z987" s="19"/>
      <c r="AB987" s="20"/>
      <c r="AC987" s="15"/>
      <c r="AD987" s="15"/>
    </row>
    <row r="988">
      <c r="F988" s="15"/>
      <c r="G988" s="15"/>
      <c r="H988" s="15"/>
      <c r="K988" s="16"/>
      <c r="R988" s="17"/>
      <c r="S988" s="17"/>
      <c r="T988" s="17"/>
      <c r="U988" s="17"/>
      <c r="V988" s="18"/>
      <c r="W988" s="18"/>
      <c r="X988" s="17"/>
      <c r="Y988" s="18"/>
      <c r="Z988" s="19"/>
      <c r="AB988" s="20"/>
      <c r="AC988" s="15"/>
      <c r="AD988" s="15"/>
    </row>
    <row r="989">
      <c r="F989" s="15"/>
      <c r="G989" s="15"/>
      <c r="H989" s="15"/>
      <c r="K989" s="16"/>
      <c r="R989" s="17"/>
      <c r="S989" s="17"/>
      <c r="T989" s="17"/>
      <c r="U989" s="17"/>
      <c r="V989" s="18"/>
      <c r="W989" s="18"/>
      <c r="X989" s="17"/>
      <c r="Y989" s="18"/>
      <c r="Z989" s="19"/>
      <c r="AB989" s="20"/>
      <c r="AC989" s="15"/>
      <c r="AD989" s="15"/>
    </row>
    <row r="990">
      <c r="F990" s="15"/>
      <c r="G990" s="15"/>
      <c r="H990" s="15"/>
      <c r="K990" s="16"/>
      <c r="R990" s="17"/>
      <c r="S990" s="17"/>
      <c r="T990" s="17"/>
      <c r="U990" s="17"/>
      <c r="V990" s="18"/>
      <c r="W990" s="18"/>
      <c r="X990" s="17"/>
      <c r="Y990" s="18"/>
      <c r="Z990" s="19"/>
      <c r="AB990" s="20"/>
      <c r="AC990" s="15"/>
      <c r="AD990" s="15"/>
    </row>
    <row r="991">
      <c r="F991" s="15"/>
      <c r="G991" s="15"/>
      <c r="H991" s="15"/>
      <c r="K991" s="16"/>
      <c r="R991" s="17"/>
      <c r="S991" s="17"/>
      <c r="T991" s="17"/>
      <c r="U991" s="17"/>
      <c r="V991" s="18"/>
      <c r="W991" s="18"/>
      <c r="X991" s="17"/>
      <c r="Y991" s="18"/>
      <c r="Z991" s="19"/>
      <c r="AB991" s="20"/>
      <c r="AC991" s="15"/>
      <c r="AD991" s="15"/>
    </row>
    <row r="992">
      <c r="F992" s="15"/>
      <c r="G992" s="15"/>
      <c r="H992" s="15"/>
      <c r="K992" s="16"/>
      <c r="R992" s="17"/>
      <c r="S992" s="17"/>
      <c r="T992" s="17"/>
      <c r="U992" s="17"/>
      <c r="V992" s="18"/>
      <c r="W992" s="18"/>
      <c r="X992" s="17"/>
      <c r="Y992" s="18"/>
      <c r="Z992" s="19"/>
      <c r="AB992" s="20"/>
      <c r="AC992" s="15"/>
      <c r="AD992" s="15"/>
    </row>
    <row r="993">
      <c r="F993" s="15"/>
      <c r="G993" s="15"/>
      <c r="H993" s="15"/>
      <c r="K993" s="16"/>
      <c r="R993" s="17"/>
      <c r="S993" s="17"/>
      <c r="T993" s="17"/>
      <c r="U993" s="17"/>
      <c r="V993" s="18"/>
      <c r="W993" s="18"/>
      <c r="X993" s="17"/>
      <c r="Y993" s="18"/>
      <c r="Z993" s="19"/>
      <c r="AB993" s="20"/>
      <c r="AC993" s="15"/>
      <c r="AD993" s="15"/>
    </row>
    <row r="994">
      <c r="F994" s="15"/>
      <c r="G994" s="15"/>
      <c r="H994" s="15"/>
      <c r="K994" s="16"/>
      <c r="R994" s="17"/>
      <c r="S994" s="17"/>
      <c r="T994" s="17"/>
      <c r="U994" s="17"/>
      <c r="V994" s="18"/>
      <c r="W994" s="18"/>
      <c r="X994" s="17"/>
      <c r="Y994" s="18"/>
      <c r="Z994" s="19"/>
      <c r="AB994" s="20"/>
      <c r="AC994" s="15"/>
      <c r="AD994" s="15"/>
    </row>
    <row r="995">
      <c r="F995" s="15"/>
      <c r="G995" s="15"/>
      <c r="H995" s="15"/>
      <c r="K995" s="16"/>
      <c r="R995" s="17"/>
      <c r="S995" s="17"/>
      <c r="T995" s="17"/>
      <c r="U995" s="17"/>
      <c r="V995" s="18"/>
      <c r="W995" s="18"/>
      <c r="X995" s="17"/>
      <c r="Y995" s="18"/>
      <c r="Z995" s="19"/>
      <c r="AB995" s="20"/>
      <c r="AC995" s="15"/>
      <c r="AD995" s="15"/>
    </row>
    <row r="996">
      <c r="F996" s="15"/>
      <c r="G996" s="15"/>
      <c r="H996" s="15"/>
      <c r="K996" s="16"/>
      <c r="R996" s="17"/>
      <c r="S996" s="17"/>
      <c r="T996" s="17"/>
      <c r="U996" s="17"/>
      <c r="V996" s="18"/>
      <c r="W996" s="18"/>
      <c r="X996" s="17"/>
      <c r="Y996" s="18"/>
      <c r="Z996" s="19"/>
      <c r="AB996" s="20"/>
      <c r="AC996" s="15"/>
      <c r="AD996" s="15"/>
    </row>
    <row r="997">
      <c r="F997" s="15"/>
      <c r="G997" s="15"/>
      <c r="H997" s="15"/>
      <c r="K997" s="16"/>
      <c r="R997" s="17"/>
      <c r="S997" s="17"/>
      <c r="T997" s="17"/>
      <c r="U997" s="17"/>
      <c r="V997" s="18"/>
      <c r="W997" s="18"/>
      <c r="X997" s="17"/>
      <c r="Y997" s="18"/>
      <c r="Z997" s="19"/>
      <c r="AB997" s="20"/>
      <c r="AC997" s="15"/>
      <c r="AD997" s="15"/>
    </row>
    <row r="998">
      <c r="F998" s="15"/>
      <c r="G998" s="15"/>
      <c r="H998" s="15"/>
      <c r="K998" s="16"/>
      <c r="R998" s="17"/>
      <c r="S998" s="17"/>
      <c r="T998" s="17"/>
      <c r="U998" s="17"/>
      <c r="V998" s="18"/>
      <c r="W998" s="18"/>
      <c r="X998" s="17"/>
      <c r="Y998" s="18"/>
      <c r="Z998" s="19"/>
      <c r="AB998" s="20"/>
      <c r="AC998" s="15"/>
      <c r="AD998" s="15"/>
    </row>
    <row r="999">
      <c r="F999" s="15"/>
      <c r="G999" s="15"/>
      <c r="H999" s="15"/>
      <c r="K999" s="16"/>
      <c r="R999" s="17"/>
      <c r="S999" s="17"/>
      <c r="T999" s="17"/>
      <c r="U999" s="17"/>
      <c r="V999" s="18"/>
      <c r="W999" s="18"/>
      <c r="X999" s="17"/>
      <c r="Y999" s="18"/>
      <c r="Z999" s="19"/>
      <c r="AB999" s="20"/>
      <c r="AC999" s="15"/>
      <c r="AD999" s="15"/>
    </row>
    <row r="1000">
      <c r="F1000" s="15"/>
      <c r="G1000" s="15"/>
      <c r="H1000" s="15"/>
      <c r="K1000" s="16"/>
      <c r="R1000" s="17"/>
      <c r="S1000" s="17"/>
      <c r="T1000" s="17"/>
      <c r="U1000" s="17"/>
      <c r="V1000" s="18"/>
      <c r="W1000" s="18"/>
      <c r="X1000" s="17"/>
      <c r="Y1000" s="18"/>
      <c r="Z1000" s="19"/>
      <c r="AB1000" s="20"/>
      <c r="AC1000" s="15"/>
      <c r="AD1000" s="15"/>
    </row>
  </sheetData>
  <drawing r:id="rId1"/>
</worksheet>
</file>