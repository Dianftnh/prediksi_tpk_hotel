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" sheetId="1" r:id="rId5"/>
    <sheet state="visible" name="Sheet2" sheetId="2" r:id="rId6"/>
  </sheets>
  <definedNames>
    <definedName hidden="1" localSheetId="0" name="_xlnm._FilterDatabase">'2024'!$A$1:$AB$109</definedName>
  </definedNames>
  <calcPr/>
</workbook>
</file>

<file path=xl/sharedStrings.xml><?xml version="1.0" encoding="utf-8"?>
<sst xmlns="http://schemas.openxmlformats.org/spreadsheetml/2006/main" count="28" uniqueCount="28">
  <si>
    <t>Tahun</t>
  </si>
  <si>
    <t>Bulan</t>
  </si>
  <si>
    <t>Provinsi</t>
  </si>
  <si>
    <t>Jenis</t>
  </si>
  <si>
    <t>room</t>
  </si>
  <si>
    <t>bed</t>
  </si>
  <si>
    <t>room_yesterday</t>
  </si>
  <si>
    <t>room_in</t>
  </si>
  <si>
    <t>room_out</t>
  </si>
  <si>
    <t>wna_yesterday</t>
  </si>
  <si>
    <t>wni_yesterday</t>
  </si>
  <si>
    <t>wna_in/jml_tamu_asing</t>
  </si>
  <si>
    <t>wni_in/jml_tamu_nusantara</t>
  </si>
  <si>
    <t>wna_out</t>
  </si>
  <si>
    <t>wni_out</t>
  </si>
  <si>
    <t>MKTS</t>
  </si>
  <si>
    <t>MKTJ</t>
  </si>
  <si>
    <t>TPK</t>
  </si>
  <si>
    <t>MTA</t>
  </si>
  <si>
    <t>TA</t>
  </si>
  <si>
    <t>RLMTA</t>
  </si>
  <si>
    <t>MTNUS</t>
  </si>
  <si>
    <t>TNUS</t>
  </si>
  <si>
    <t>RLMTNUS</t>
  </si>
  <si>
    <t>MTGAB</t>
  </si>
  <si>
    <t>TGAB</t>
  </si>
  <si>
    <t>RLMTGAB</t>
  </si>
  <si>
    <t>TPTT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</si>
</sst>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2" xfId="0" applyFont="1" applyNumberFormat="1"/>
    <xf borderId="0" fillId="0" fontId="2" numFmtId="0" xfId="0" applyAlignment="1" applyFont="1">
      <alignment readingOrder="0" vertical="bottom"/>
    </xf>
    <xf borderId="0" fillId="0" fontId="2" numFmtId="3" xfId="0" applyAlignment="1" applyFont="1" applyNumberFormat="1">
      <alignment readingOrder="0" vertical="bottom"/>
    </xf>
    <xf borderId="0" fillId="0" fontId="2" numFmtId="0" xfId="0" applyAlignment="1" applyFont="1">
      <alignment vertical="bottom"/>
    </xf>
    <xf borderId="0" fillId="0" fontId="2" numFmtId="2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0" fillId="0" fontId="3" numFmtId="2" xfId="0" applyAlignment="1" applyFont="1" applyNumberFormat="1">
      <alignment horizontal="right" vertical="bottom"/>
    </xf>
    <xf borderId="0" fillId="0" fontId="3" numFmtId="0" xfId="0" applyAlignment="1" applyFont="1">
      <alignment horizontal="center" vertical="bottom"/>
    </xf>
    <xf borderId="0" fillId="0" fontId="1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63"/>
    <col customWidth="1" min="2" max="2" width="5.38"/>
    <col customWidth="1" min="3" max="3" width="7.13"/>
    <col customWidth="1" min="4" max="4" width="4.75"/>
    <col customWidth="1" min="5" max="5" width="6.13"/>
    <col customWidth="1" min="6" max="6" width="7.0"/>
    <col customWidth="1" min="7" max="7" width="15.63"/>
    <col customWidth="1" min="8" max="8" width="9.75"/>
    <col customWidth="1" min="9" max="9" width="10.88"/>
    <col customWidth="1" min="10" max="10" width="14.75"/>
    <col customWidth="1" min="11" max="11" width="14.38"/>
    <col customWidth="1" min="12" max="12" width="19.75"/>
    <col customWidth="1" min="13" max="13" width="22.75"/>
    <col customWidth="1" min="14" max="14" width="10.0"/>
    <col customWidth="1" min="15" max="15" width="9.63"/>
    <col customWidth="1" min="16" max="17" width="6.13"/>
    <col customWidth="1" min="18" max="18" width="10.75"/>
    <col customWidth="1" min="19" max="19" width="5.13"/>
    <col customWidth="1" min="20" max="20" width="6.38"/>
    <col customWidth="1" min="21" max="21" width="10.75"/>
    <col customWidth="1" min="22" max="22" width="8.75"/>
    <col customWidth="1" min="23" max="23" width="6.13"/>
    <col customWidth="1" min="24" max="24" width="10.75"/>
    <col customWidth="1" min="25" max="25" width="7.88"/>
    <col customWidth="1" min="26" max="26" width="9.38"/>
    <col customWidth="1" min="27" max="28" width="10.7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5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</row>
    <row r="2">
      <c r="A2" s="6">
        <v>2024.0</v>
      </c>
      <c r="B2" s="6">
        <v>1.0</v>
      </c>
      <c r="C2" s="6">
        <v>18.0</v>
      </c>
      <c r="D2" s="6">
        <v>1.0</v>
      </c>
      <c r="E2" s="7">
        <v>2666.0</v>
      </c>
      <c r="F2" s="7">
        <v>3782.0</v>
      </c>
      <c r="G2" s="7">
        <v>837.0</v>
      </c>
      <c r="H2" s="7">
        <v>831.0</v>
      </c>
      <c r="I2" s="7">
        <v>837.0</v>
      </c>
      <c r="J2" s="7">
        <v>0.0</v>
      </c>
      <c r="K2" s="7">
        <v>1654.0</v>
      </c>
      <c r="L2" s="7">
        <v>0.0</v>
      </c>
      <c r="M2" s="7">
        <v>1616.0</v>
      </c>
      <c r="N2" s="7">
        <v>0.0</v>
      </c>
      <c r="O2" s="7">
        <v>1654.0</v>
      </c>
      <c r="P2" s="7">
        <f t="shared" ref="P2:P109" si="2">E2</f>
        <v>2666</v>
      </c>
      <c r="Q2" s="7">
        <f t="shared" ref="Q2:Q109" si="3">(G2+H2-I2)</f>
        <v>831</v>
      </c>
      <c r="R2" s="8">
        <f t="shared" ref="R2:R109" si="4">Q2/P2*100</f>
        <v>31.17029257</v>
      </c>
      <c r="S2" s="7">
        <f t="shared" ref="S2:S109" si="5">J2+L2-N2</f>
        <v>0</v>
      </c>
      <c r="T2" s="7">
        <f t="shared" ref="T2:T109" si="6">L2</f>
        <v>0</v>
      </c>
      <c r="U2" s="9" t="str">
        <f t="shared" ref="U2:U109" si="7">S2/T2</f>
        <v>#DIV/0!</v>
      </c>
      <c r="V2" s="7">
        <f t="shared" ref="V2:V109" si="8">K2+M2-O2</f>
        <v>1616</v>
      </c>
      <c r="W2" s="7">
        <f t="shared" ref="W2:W109" si="9">M2</f>
        <v>1616</v>
      </c>
      <c r="X2" s="6">
        <f t="shared" ref="X2:X109" si="10">V2/W2</f>
        <v>1</v>
      </c>
      <c r="Y2" s="7">
        <f t="shared" ref="Y2:Z2" si="1">S2+V2</f>
        <v>1616</v>
      </c>
      <c r="Z2" s="7">
        <f t="shared" si="1"/>
        <v>1616</v>
      </c>
      <c r="AA2" s="6">
        <f t="shared" ref="AA2:AA109" si="12">Y2/Z2</f>
        <v>1</v>
      </c>
      <c r="AB2" s="6">
        <f t="shared" ref="AB2:AB109" si="13">Y2/F2*100</f>
        <v>42.72871497</v>
      </c>
    </row>
    <row r="3">
      <c r="A3" s="6">
        <v>2024.0</v>
      </c>
      <c r="B3" s="6">
        <v>1.0</v>
      </c>
      <c r="C3" s="6">
        <v>18.0</v>
      </c>
      <c r="D3" s="6">
        <v>2.0</v>
      </c>
      <c r="E3" s="7">
        <v>12873.0</v>
      </c>
      <c r="F3" s="7">
        <v>24817.0</v>
      </c>
      <c r="G3" s="7">
        <v>1284.0</v>
      </c>
      <c r="H3" s="7">
        <v>1133.0</v>
      </c>
      <c r="I3" s="7">
        <v>1260.0</v>
      </c>
      <c r="J3" s="7">
        <v>0.0</v>
      </c>
      <c r="K3" s="7">
        <v>2412.0</v>
      </c>
      <c r="L3" s="7">
        <v>0.0</v>
      </c>
      <c r="M3" s="7">
        <v>2111.0</v>
      </c>
      <c r="N3" s="7">
        <v>0.0</v>
      </c>
      <c r="O3" s="7">
        <v>2383.0</v>
      </c>
      <c r="P3" s="7">
        <f t="shared" si="2"/>
        <v>12873</v>
      </c>
      <c r="Q3" s="7">
        <f t="shared" si="3"/>
        <v>1157</v>
      </c>
      <c r="R3" s="8">
        <f t="shared" si="4"/>
        <v>8.987803931</v>
      </c>
      <c r="S3" s="7">
        <f t="shared" si="5"/>
        <v>0</v>
      </c>
      <c r="T3" s="7">
        <f t="shared" si="6"/>
        <v>0</v>
      </c>
      <c r="U3" s="9" t="str">
        <f t="shared" si="7"/>
        <v>#DIV/0!</v>
      </c>
      <c r="V3" s="7">
        <f t="shared" si="8"/>
        <v>2140</v>
      </c>
      <c r="W3" s="7">
        <f t="shared" si="9"/>
        <v>2111</v>
      </c>
      <c r="X3" s="6">
        <f t="shared" si="10"/>
        <v>1.013737565</v>
      </c>
      <c r="Y3" s="7">
        <f t="shared" ref="Y3:Z3" si="11">S3+V3</f>
        <v>2140</v>
      </c>
      <c r="Z3" s="7">
        <f t="shared" si="11"/>
        <v>2111</v>
      </c>
      <c r="AA3" s="6">
        <f t="shared" si="12"/>
        <v>1.013737565</v>
      </c>
      <c r="AB3" s="6">
        <f t="shared" si="13"/>
        <v>8.623121248</v>
      </c>
    </row>
    <row r="4">
      <c r="A4" s="6">
        <v>2024.0</v>
      </c>
      <c r="B4" s="6">
        <v>1.0</v>
      </c>
      <c r="C4" s="6">
        <v>18.0</v>
      </c>
      <c r="D4" s="6">
        <v>1.0</v>
      </c>
      <c r="E4" s="7">
        <v>6014.0</v>
      </c>
      <c r="F4" s="7">
        <v>8401.0</v>
      </c>
      <c r="G4" s="7">
        <v>2763.0</v>
      </c>
      <c r="H4" s="7">
        <v>2165.0</v>
      </c>
      <c r="I4" s="7">
        <v>2342.0</v>
      </c>
      <c r="J4" s="7">
        <v>0.0</v>
      </c>
      <c r="K4" s="7">
        <v>5510.0</v>
      </c>
      <c r="L4" s="7">
        <v>0.0</v>
      </c>
      <c r="M4" s="7">
        <v>4307.0</v>
      </c>
      <c r="N4" s="7">
        <v>0.0</v>
      </c>
      <c r="O4" s="7">
        <v>4666.0</v>
      </c>
      <c r="P4" s="7">
        <f t="shared" si="2"/>
        <v>6014</v>
      </c>
      <c r="Q4" s="7">
        <f t="shared" si="3"/>
        <v>2586</v>
      </c>
      <c r="R4" s="8">
        <f t="shared" si="4"/>
        <v>42.99966744</v>
      </c>
      <c r="S4" s="7">
        <f t="shared" si="5"/>
        <v>0</v>
      </c>
      <c r="T4" s="7">
        <f t="shared" si="6"/>
        <v>0</v>
      </c>
      <c r="U4" s="9" t="str">
        <f t="shared" si="7"/>
        <v>#DIV/0!</v>
      </c>
      <c r="V4" s="7">
        <f t="shared" si="8"/>
        <v>5151</v>
      </c>
      <c r="W4" s="7">
        <f t="shared" si="9"/>
        <v>4307</v>
      </c>
      <c r="X4" s="6">
        <f t="shared" si="10"/>
        <v>1.195960065</v>
      </c>
      <c r="Y4" s="7">
        <f t="shared" ref="Y4:Z4" si="14">S4+V4</f>
        <v>5151</v>
      </c>
      <c r="Z4" s="7">
        <f t="shared" si="14"/>
        <v>4307</v>
      </c>
      <c r="AA4" s="6">
        <f t="shared" si="12"/>
        <v>1.195960065</v>
      </c>
      <c r="AB4" s="6">
        <f t="shared" si="13"/>
        <v>61.31412927</v>
      </c>
    </row>
    <row r="5">
      <c r="A5" s="6">
        <v>2024.0</v>
      </c>
      <c r="B5" s="6">
        <v>1.0</v>
      </c>
      <c r="C5" s="6">
        <v>18.0</v>
      </c>
      <c r="D5" s="6">
        <v>2.0</v>
      </c>
      <c r="E5" s="7">
        <v>89720.0</v>
      </c>
      <c r="F5" s="7">
        <v>135033.0</v>
      </c>
      <c r="G5" s="7">
        <v>21806.0</v>
      </c>
      <c r="H5" s="7">
        <v>20360.0</v>
      </c>
      <c r="I5" s="7">
        <v>20856.0</v>
      </c>
      <c r="J5" s="7">
        <v>9.0</v>
      </c>
      <c r="K5" s="7">
        <v>43196.0</v>
      </c>
      <c r="L5" s="7">
        <v>9.0</v>
      </c>
      <c r="M5" s="7">
        <v>39636.0</v>
      </c>
      <c r="N5" s="7">
        <v>9.0</v>
      </c>
      <c r="O5" s="7">
        <v>39804.0</v>
      </c>
      <c r="P5" s="7">
        <f t="shared" si="2"/>
        <v>89720</v>
      </c>
      <c r="Q5" s="7">
        <f t="shared" si="3"/>
        <v>21310</v>
      </c>
      <c r="R5" s="8">
        <f t="shared" si="4"/>
        <v>23.75167187</v>
      </c>
      <c r="S5" s="7">
        <f t="shared" si="5"/>
        <v>9</v>
      </c>
      <c r="T5" s="7">
        <f t="shared" si="6"/>
        <v>9</v>
      </c>
      <c r="U5" s="6">
        <f t="shared" si="7"/>
        <v>1</v>
      </c>
      <c r="V5" s="7">
        <f t="shared" si="8"/>
        <v>43028</v>
      </c>
      <c r="W5" s="7">
        <f t="shared" si="9"/>
        <v>39636</v>
      </c>
      <c r="X5" s="6">
        <f t="shared" si="10"/>
        <v>1.085578767</v>
      </c>
      <c r="Y5" s="7">
        <f t="shared" ref="Y5:Z5" si="15">S5+V5</f>
        <v>43037</v>
      </c>
      <c r="Z5" s="7">
        <f t="shared" si="15"/>
        <v>39645</v>
      </c>
      <c r="AA5" s="6">
        <f t="shared" si="12"/>
        <v>1.085559339</v>
      </c>
      <c r="AB5" s="6">
        <f t="shared" si="13"/>
        <v>31.87146846</v>
      </c>
    </row>
    <row r="6">
      <c r="A6" s="6">
        <v>2024.0</v>
      </c>
      <c r="B6" s="6">
        <v>1.0</v>
      </c>
      <c r="C6" s="6">
        <v>18.0</v>
      </c>
      <c r="D6" s="6">
        <v>1.0</v>
      </c>
      <c r="E6" s="7">
        <v>45539.0</v>
      </c>
      <c r="F6" s="7">
        <v>69533.0</v>
      </c>
      <c r="G6" s="7">
        <v>24033.0</v>
      </c>
      <c r="H6" s="7">
        <v>16398.0</v>
      </c>
      <c r="I6" s="7">
        <v>19860.0</v>
      </c>
      <c r="J6" s="7">
        <v>54.0</v>
      </c>
      <c r="K6" s="7">
        <v>43632.0</v>
      </c>
      <c r="L6" s="7">
        <v>70.0</v>
      </c>
      <c r="M6" s="7">
        <v>29267.0</v>
      </c>
      <c r="N6" s="7">
        <v>51.0</v>
      </c>
      <c r="O6" s="7">
        <v>35288.0</v>
      </c>
      <c r="P6" s="7">
        <f t="shared" si="2"/>
        <v>45539</v>
      </c>
      <c r="Q6" s="7">
        <f t="shared" si="3"/>
        <v>20571</v>
      </c>
      <c r="R6" s="8">
        <f t="shared" si="4"/>
        <v>45.17226992</v>
      </c>
      <c r="S6" s="7">
        <f t="shared" si="5"/>
        <v>73</v>
      </c>
      <c r="T6" s="7">
        <f t="shared" si="6"/>
        <v>70</v>
      </c>
      <c r="U6" s="6">
        <f t="shared" si="7"/>
        <v>1.042857143</v>
      </c>
      <c r="V6" s="7">
        <f t="shared" si="8"/>
        <v>37611</v>
      </c>
      <c r="W6" s="7">
        <f t="shared" si="9"/>
        <v>29267</v>
      </c>
      <c r="X6" s="6">
        <f t="shared" si="10"/>
        <v>1.285099259</v>
      </c>
      <c r="Y6" s="7">
        <f t="shared" ref="Y6:Z6" si="16">S6+V6</f>
        <v>37684</v>
      </c>
      <c r="Z6" s="7">
        <f t="shared" si="16"/>
        <v>29337</v>
      </c>
      <c r="AA6" s="6">
        <f t="shared" si="12"/>
        <v>1.284521253</v>
      </c>
      <c r="AB6" s="6">
        <f t="shared" si="13"/>
        <v>54.19584945</v>
      </c>
    </row>
    <row r="7">
      <c r="A7" s="6">
        <v>2024.0</v>
      </c>
      <c r="B7" s="6">
        <v>1.0</v>
      </c>
      <c r="C7" s="6">
        <v>18.0</v>
      </c>
      <c r="D7" s="6">
        <v>2.0</v>
      </c>
      <c r="E7" s="7">
        <v>59373.0</v>
      </c>
      <c r="F7" s="7">
        <v>92447.0</v>
      </c>
      <c r="G7" s="7">
        <v>14474.0</v>
      </c>
      <c r="H7" s="7">
        <v>13855.0</v>
      </c>
      <c r="I7" s="7">
        <v>14099.0</v>
      </c>
      <c r="J7" s="7">
        <v>0.0</v>
      </c>
      <c r="K7" s="7">
        <v>27929.0</v>
      </c>
      <c r="L7" s="7">
        <v>0.0</v>
      </c>
      <c r="M7" s="7">
        <v>24926.0</v>
      </c>
      <c r="N7" s="7">
        <v>0.0</v>
      </c>
      <c r="O7" s="7">
        <v>25417.0</v>
      </c>
      <c r="P7" s="7">
        <f t="shared" si="2"/>
        <v>59373</v>
      </c>
      <c r="Q7" s="7">
        <f t="shared" si="3"/>
        <v>14230</v>
      </c>
      <c r="R7" s="8">
        <f t="shared" si="4"/>
        <v>23.9671231</v>
      </c>
      <c r="S7" s="7">
        <f t="shared" si="5"/>
        <v>0</v>
      </c>
      <c r="T7" s="7">
        <f t="shared" si="6"/>
        <v>0</v>
      </c>
      <c r="U7" s="9" t="str">
        <f t="shared" si="7"/>
        <v>#DIV/0!</v>
      </c>
      <c r="V7" s="7">
        <f t="shared" si="8"/>
        <v>27438</v>
      </c>
      <c r="W7" s="7">
        <f t="shared" si="9"/>
        <v>24926</v>
      </c>
      <c r="X7" s="6">
        <f t="shared" si="10"/>
        <v>1.100778304</v>
      </c>
      <c r="Y7" s="7">
        <f t="shared" ref="Y7:Z7" si="17">S7+V7</f>
        <v>27438</v>
      </c>
      <c r="Z7" s="7">
        <f t="shared" si="17"/>
        <v>24926</v>
      </c>
      <c r="AA7" s="6">
        <f t="shared" si="12"/>
        <v>1.100778304</v>
      </c>
      <c r="AB7" s="6">
        <f t="shared" si="13"/>
        <v>29.67970837</v>
      </c>
    </row>
    <row r="8">
      <c r="A8" s="6">
        <v>2024.0</v>
      </c>
      <c r="B8" s="6">
        <v>1.0</v>
      </c>
      <c r="C8" s="6">
        <v>18.0</v>
      </c>
      <c r="D8" s="6">
        <v>1.0</v>
      </c>
      <c r="E8" s="7">
        <v>38936.0</v>
      </c>
      <c r="F8" s="7">
        <v>58993.0</v>
      </c>
      <c r="G8" s="7">
        <v>19096.0</v>
      </c>
      <c r="H8" s="7">
        <v>14360.0</v>
      </c>
      <c r="I8" s="7">
        <v>13800.0</v>
      </c>
      <c r="J8" s="7">
        <v>638.0</v>
      </c>
      <c r="K8" s="7">
        <v>36349.0</v>
      </c>
      <c r="L8" s="7">
        <v>326.0</v>
      </c>
      <c r="M8" s="7">
        <v>25983.0</v>
      </c>
      <c r="N8" s="7">
        <v>267.0</v>
      </c>
      <c r="O8" s="7">
        <v>25764.0</v>
      </c>
      <c r="P8" s="7">
        <f t="shared" si="2"/>
        <v>38936</v>
      </c>
      <c r="Q8" s="7">
        <f t="shared" si="3"/>
        <v>19656</v>
      </c>
      <c r="R8" s="8">
        <f t="shared" si="4"/>
        <v>50.48284364</v>
      </c>
      <c r="S8" s="7">
        <f t="shared" si="5"/>
        <v>697</v>
      </c>
      <c r="T8" s="7">
        <f t="shared" si="6"/>
        <v>326</v>
      </c>
      <c r="U8" s="6">
        <f t="shared" si="7"/>
        <v>2.13803681</v>
      </c>
      <c r="V8" s="7">
        <f t="shared" si="8"/>
        <v>36568</v>
      </c>
      <c r="W8" s="7">
        <f t="shared" si="9"/>
        <v>25983</v>
      </c>
      <c r="X8" s="6">
        <f t="shared" si="10"/>
        <v>1.40738175</v>
      </c>
      <c r="Y8" s="7">
        <f t="shared" ref="Y8:Z8" si="18">S8+V8</f>
        <v>37265</v>
      </c>
      <c r="Z8" s="7">
        <f t="shared" si="18"/>
        <v>26309</v>
      </c>
      <c r="AA8" s="6">
        <f t="shared" si="12"/>
        <v>1.41643544</v>
      </c>
      <c r="AB8" s="6">
        <f t="shared" si="13"/>
        <v>63.16851152</v>
      </c>
    </row>
    <row r="9">
      <c r="A9" s="6">
        <v>2024.0</v>
      </c>
      <c r="B9" s="6">
        <v>1.0</v>
      </c>
      <c r="C9" s="6">
        <v>18.0</v>
      </c>
      <c r="D9" s="6">
        <v>2.0</v>
      </c>
      <c r="E9" s="7">
        <v>49817.0</v>
      </c>
      <c r="F9" s="7">
        <v>76252.0</v>
      </c>
      <c r="G9" s="7">
        <v>11170.0</v>
      </c>
      <c r="H9" s="7">
        <v>10198.0</v>
      </c>
      <c r="I9" s="7">
        <v>10623.0</v>
      </c>
      <c r="J9" s="7">
        <v>0.0</v>
      </c>
      <c r="K9" s="7">
        <v>31459.0</v>
      </c>
      <c r="L9" s="7">
        <v>0.0</v>
      </c>
      <c r="M9" s="7">
        <v>24010.0</v>
      </c>
      <c r="N9" s="7">
        <v>0.0</v>
      </c>
      <c r="O9" s="7">
        <v>24874.0</v>
      </c>
      <c r="P9" s="7">
        <f t="shared" si="2"/>
        <v>49817</v>
      </c>
      <c r="Q9" s="7">
        <f t="shared" si="3"/>
        <v>10745</v>
      </c>
      <c r="R9" s="8">
        <f t="shared" si="4"/>
        <v>21.56894233</v>
      </c>
      <c r="S9" s="7">
        <f t="shared" si="5"/>
        <v>0</v>
      </c>
      <c r="T9" s="7">
        <f t="shared" si="6"/>
        <v>0</v>
      </c>
      <c r="U9" s="9" t="str">
        <f t="shared" si="7"/>
        <v>#DIV/0!</v>
      </c>
      <c r="V9" s="7">
        <f t="shared" si="8"/>
        <v>30595</v>
      </c>
      <c r="W9" s="7">
        <f t="shared" si="9"/>
        <v>24010</v>
      </c>
      <c r="X9" s="6">
        <f t="shared" si="10"/>
        <v>1.274260725</v>
      </c>
      <c r="Y9" s="7">
        <f t="shared" ref="Y9:Z9" si="19">S9+V9</f>
        <v>30595</v>
      </c>
      <c r="Z9" s="7">
        <f t="shared" si="19"/>
        <v>24010</v>
      </c>
      <c r="AA9" s="6">
        <f t="shared" si="12"/>
        <v>1.274260725</v>
      </c>
      <c r="AB9" s="6">
        <f t="shared" si="13"/>
        <v>40.12353774</v>
      </c>
    </row>
    <row r="10">
      <c r="A10" s="6">
        <v>2024.0</v>
      </c>
      <c r="B10" s="6">
        <v>1.0</v>
      </c>
      <c r="C10" s="6">
        <v>18.0</v>
      </c>
      <c r="D10" s="6">
        <v>1.0</v>
      </c>
      <c r="E10" s="7">
        <v>10385.0</v>
      </c>
      <c r="F10" s="7">
        <v>13950.0</v>
      </c>
      <c r="G10" s="7">
        <v>2299.0</v>
      </c>
      <c r="H10" s="7">
        <v>2051.0</v>
      </c>
      <c r="I10" s="7">
        <v>1801.0</v>
      </c>
      <c r="J10" s="7">
        <v>0.0</v>
      </c>
      <c r="K10" s="7">
        <v>3951.0</v>
      </c>
      <c r="L10" s="7">
        <v>0.0</v>
      </c>
      <c r="M10" s="7">
        <v>3523.0</v>
      </c>
      <c r="N10" s="7">
        <v>0.0</v>
      </c>
      <c r="O10" s="7">
        <v>3951.0</v>
      </c>
      <c r="P10" s="7">
        <f t="shared" si="2"/>
        <v>10385</v>
      </c>
      <c r="Q10" s="7">
        <f t="shared" si="3"/>
        <v>2549</v>
      </c>
      <c r="R10" s="8">
        <f t="shared" si="4"/>
        <v>24.54501685</v>
      </c>
      <c r="S10" s="7">
        <f t="shared" si="5"/>
        <v>0</v>
      </c>
      <c r="T10" s="7">
        <f t="shared" si="6"/>
        <v>0</v>
      </c>
      <c r="U10" s="9" t="str">
        <f t="shared" si="7"/>
        <v>#DIV/0!</v>
      </c>
      <c r="V10" s="7">
        <f t="shared" si="8"/>
        <v>3523</v>
      </c>
      <c r="W10" s="7">
        <f t="shared" si="9"/>
        <v>3523</v>
      </c>
      <c r="X10" s="6">
        <f t="shared" si="10"/>
        <v>1</v>
      </c>
      <c r="Y10" s="7">
        <f t="shared" ref="Y10:Z10" si="20">S10+V10</f>
        <v>3523</v>
      </c>
      <c r="Z10" s="7">
        <f t="shared" si="20"/>
        <v>3523</v>
      </c>
      <c r="AA10" s="6">
        <f t="shared" si="12"/>
        <v>1</v>
      </c>
      <c r="AB10" s="6">
        <f t="shared" si="13"/>
        <v>25.25448029</v>
      </c>
    </row>
    <row r="11">
      <c r="A11" s="6">
        <v>2024.0</v>
      </c>
      <c r="B11" s="6">
        <v>2.0</v>
      </c>
      <c r="C11" s="6">
        <v>18.0</v>
      </c>
      <c r="D11" s="6">
        <v>1.0</v>
      </c>
      <c r="E11" s="7">
        <v>2494.0</v>
      </c>
      <c r="F11" s="7">
        <v>3538.0</v>
      </c>
      <c r="G11" s="7">
        <v>611.0</v>
      </c>
      <c r="H11" s="7">
        <v>656.0</v>
      </c>
      <c r="I11" s="7">
        <v>611.0</v>
      </c>
      <c r="J11" s="7">
        <v>0.0</v>
      </c>
      <c r="K11" s="7">
        <v>1222.0</v>
      </c>
      <c r="L11" s="7">
        <v>0.0</v>
      </c>
      <c r="M11" s="7">
        <v>1312.0</v>
      </c>
      <c r="N11" s="7">
        <v>0.0</v>
      </c>
      <c r="O11" s="7">
        <v>1222.0</v>
      </c>
      <c r="P11" s="7">
        <f t="shared" si="2"/>
        <v>2494</v>
      </c>
      <c r="Q11" s="7">
        <f t="shared" si="3"/>
        <v>656</v>
      </c>
      <c r="R11" s="8">
        <f t="shared" si="4"/>
        <v>26.30312751</v>
      </c>
      <c r="S11" s="7">
        <f t="shared" si="5"/>
        <v>0</v>
      </c>
      <c r="T11" s="7">
        <f t="shared" si="6"/>
        <v>0</v>
      </c>
      <c r="U11" s="9" t="str">
        <f t="shared" si="7"/>
        <v>#DIV/0!</v>
      </c>
      <c r="V11" s="7">
        <f t="shared" si="8"/>
        <v>1312</v>
      </c>
      <c r="W11" s="7">
        <f t="shared" si="9"/>
        <v>1312</v>
      </c>
      <c r="X11" s="6">
        <f t="shared" si="10"/>
        <v>1</v>
      </c>
      <c r="Y11" s="7">
        <f t="shared" ref="Y11:Z11" si="21">S11+V11</f>
        <v>1312</v>
      </c>
      <c r="Z11" s="7">
        <f t="shared" si="21"/>
        <v>1312</v>
      </c>
      <c r="AA11" s="6">
        <f t="shared" si="12"/>
        <v>1</v>
      </c>
      <c r="AB11" s="6">
        <f t="shared" si="13"/>
        <v>37.0830978</v>
      </c>
    </row>
    <row r="12">
      <c r="A12" s="6">
        <v>2024.0</v>
      </c>
      <c r="B12" s="6">
        <v>2.0</v>
      </c>
      <c r="C12" s="6">
        <v>18.0</v>
      </c>
      <c r="D12" s="6">
        <v>2.0</v>
      </c>
      <c r="E12" s="7">
        <v>11969.0</v>
      </c>
      <c r="F12" s="7">
        <v>16473.0</v>
      </c>
      <c r="G12" s="7">
        <v>1207.0</v>
      </c>
      <c r="H12" s="7">
        <v>1238.0</v>
      </c>
      <c r="I12" s="7">
        <v>1176.0</v>
      </c>
      <c r="J12" s="7">
        <v>0.0</v>
      </c>
      <c r="K12" s="7">
        <v>2726.0</v>
      </c>
      <c r="L12" s="7">
        <v>0.0</v>
      </c>
      <c r="M12" s="7">
        <v>2432.0</v>
      </c>
      <c r="N12" s="7">
        <v>0.0</v>
      </c>
      <c r="O12" s="7">
        <v>2256.0</v>
      </c>
      <c r="P12" s="7">
        <f t="shared" si="2"/>
        <v>11969</v>
      </c>
      <c r="Q12" s="7">
        <f t="shared" si="3"/>
        <v>1269</v>
      </c>
      <c r="R12" s="8">
        <f t="shared" si="4"/>
        <v>10.60238951</v>
      </c>
      <c r="S12" s="7">
        <f t="shared" si="5"/>
        <v>0</v>
      </c>
      <c r="T12" s="7">
        <f t="shared" si="6"/>
        <v>0</v>
      </c>
      <c r="U12" s="9" t="str">
        <f t="shared" si="7"/>
        <v>#DIV/0!</v>
      </c>
      <c r="V12" s="7">
        <f t="shared" si="8"/>
        <v>2902</v>
      </c>
      <c r="W12" s="7">
        <f t="shared" si="9"/>
        <v>2432</v>
      </c>
      <c r="X12" s="6">
        <f t="shared" si="10"/>
        <v>1.193256579</v>
      </c>
      <c r="Y12" s="7">
        <f t="shared" ref="Y12:Z12" si="22">S12+V12</f>
        <v>2902</v>
      </c>
      <c r="Z12" s="7">
        <f t="shared" si="22"/>
        <v>2432</v>
      </c>
      <c r="AA12" s="6">
        <f t="shared" si="12"/>
        <v>1.193256579</v>
      </c>
      <c r="AB12" s="6">
        <f t="shared" si="13"/>
        <v>17.61670613</v>
      </c>
    </row>
    <row r="13">
      <c r="A13" s="6">
        <v>2024.0</v>
      </c>
      <c r="B13" s="6">
        <v>2.0</v>
      </c>
      <c r="C13" s="6">
        <v>18.0</v>
      </c>
      <c r="D13" s="6">
        <v>1.0</v>
      </c>
      <c r="E13" s="7">
        <v>5626.0</v>
      </c>
      <c r="F13" s="7">
        <v>7279.0</v>
      </c>
      <c r="G13" s="7">
        <v>1975.0</v>
      </c>
      <c r="H13" s="7">
        <v>2100.0</v>
      </c>
      <c r="I13" s="7">
        <v>1975.0</v>
      </c>
      <c r="J13" s="7">
        <v>0.0</v>
      </c>
      <c r="K13" s="7">
        <v>4150.0</v>
      </c>
      <c r="L13" s="7">
        <v>0.0</v>
      </c>
      <c r="M13" s="7">
        <v>4296.0</v>
      </c>
      <c r="N13" s="7">
        <v>0.0</v>
      </c>
      <c r="O13" s="7">
        <v>4150.0</v>
      </c>
      <c r="P13" s="7">
        <f t="shared" si="2"/>
        <v>5626</v>
      </c>
      <c r="Q13" s="7">
        <f t="shared" si="3"/>
        <v>2100</v>
      </c>
      <c r="R13" s="8">
        <f t="shared" si="4"/>
        <v>37.32669748</v>
      </c>
      <c r="S13" s="7">
        <f t="shared" si="5"/>
        <v>0</v>
      </c>
      <c r="T13" s="7">
        <f t="shared" si="6"/>
        <v>0</v>
      </c>
      <c r="U13" s="9" t="str">
        <f t="shared" si="7"/>
        <v>#DIV/0!</v>
      </c>
      <c r="V13" s="7">
        <f t="shared" si="8"/>
        <v>4296</v>
      </c>
      <c r="W13" s="7">
        <f t="shared" si="9"/>
        <v>4296</v>
      </c>
      <c r="X13" s="6">
        <f t="shared" si="10"/>
        <v>1</v>
      </c>
      <c r="Y13" s="7">
        <f t="shared" ref="Y13:Z13" si="23">S13+V13</f>
        <v>4296</v>
      </c>
      <c r="Z13" s="7">
        <f t="shared" si="23"/>
        <v>4296</v>
      </c>
      <c r="AA13" s="6">
        <f t="shared" si="12"/>
        <v>1</v>
      </c>
      <c r="AB13" s="6">
        <f t="shared" si="13"/>
        <v>59.01909603</v>
      </c>
    </row>
    <row r="14">
      <c r="A14" s="6">
        <v>2024.0</v>
      </c>
      <c r="B14" s="6">
        <v>2.0</v>
      </c>
      <c r="C14" s="6">
        <v>18.0</v>
      </c>
      <c r="D14" s="6">
        <v>2.0</v>
      </c>
      <c r="E14" s="7">
        <v>88430.0</v>
      </c>
      <c r="F14" s="7">
        <v>122439.0</v>
      </c>
      <c r="G14" s="7">
        <v>21895.0</v>
      </c>
      <c r="H14" s="7">
        <v>20539.0</v>
      </c>
      <c r="I14" s="7">
        <v>20352.0</v>
      </c>
      <c r="J14" s="7">
        <v>139.0</v>
      </c>
      <c r="K14" s="7">
        <v>43087.0</v>
      </c>
      <c r="L14" s="7">
        <v>20.0</v>
      </c>
      <c r="M14" s="7">
        <v>39769.0</v>
      </c>
      <c r="N14" s="7">
        <v>21.0</v>
      </c>
      <c r="O14" s="7">
        <v>39447.0</v>
      </c>
      <c r="P14" s="7">
        <f t="shared" si="2"/>
        <v>88430</v>
      </c>
      <c r="Q14" s="7">
        <f t="shared" si="3"/>
        <v>22082</v>
      </c>
      <c r="R14" s="8">
        <f t="shared" si="4"/>
        <v>24.97116363</v>
      </c>
      <c r="S14" s="7">
        <f t="shared" si="5"/>
        <v>138</v>
      </c>
      <c r="T14" s="7">
        <f t="shared" si="6"/>
        <v>20</v>
      </c>
      <c r="U14" s="6">
        <f t="shared" si="7"/>
        <v>6.9</v>
      </c>
      <c r="V14" s="7">
        <f t="shared" si="8"/>
        <v>43409</v>
      </c>
      <c r="W14" s="7">
        <f t="shared" si="9"/>
        <v>39769</v>
      </c>
      <c r="X14" s="6">
        <f t="shared" si="10"/>
        <v>1.091528578</v>
      </c>
      <c r="Y14" s="7">
        <f t="shared" ref="Y14:Z14" si="24">S14+V14</f>
        <v>43547</v>
      </c>
      <c r="Z14" s="7">
        <f t="shared" si="24"/>
        <v>39789</v>
      </c>
      <c r="AA14" s="6">
        <f t="shared" si="12"/>
        <v>1.094448214</v>
      </c>
      <c r="AB14" s="6">
        <f t="shared" si="13"/>
        <v>35.56628199</v>
      </c>
    </row>
    <row r="15">
      <c r="A15" s="6">
        <v>2024.0</v>
      </c>
      <c r="B15" s="6">
        <v>2.0</v>
      </c>
      <c r="C15" s="6">
        <v>18.0</v>
      </c>
      <c r="D15" s="6">
        <v>1.0</v>
      </c>
      <c r="E15" s="7">
        <v>43674.0</v>
      </c>
      <c r="F15" s="7">
        <v>66294.0</v>
      </c>
      <c r="G15" s="7">
        <v>18341.0</v>
      </c>
      <c r="H15" s="7">
        <v>14747.0</v>
      </c>
      <c r="I15" s="7">
        <v>15608.0</v>
      </c>
      <c r="J15" s="7">
        <v>146.0</v>
      </c>
      <c r="K15" s="7">
        <v>33543.0</v>
      </c>
      <c r="L15" s="7">
        <v>132.0</v>
      </c>
      <c r="M15" s="7">
        <v>24537.0</v>
      </c>
      <c r="N15" s="7">
        <v>146.0</v>
      </c>
      <c r="O15" s="7">
        <v>27939.0</v>
      </c>
      <c r="P15" s="7">
        <f t="shared" si="2"/>
        <v>43674</v>
      </c>
      <c r="Q15" s="7">
        <f t="shared" si="3"/>
        <v>17480</v>
      </c>
      <c r="R15" s="8">
        <f t="shared" si="4"/>
        <v>40.02381279</v>
      </c>
      <c r="S15" s="7">
        <f t="shared" si="5"/>
        <v>132</v>
      </c>
      <c r="T15" s="7">
        <f t="shared" si="6"/>
        <v>132</v>
      </c>
      <c r="U15" s="6">
        <f t="shared" si="7"/>
        <v>1</v>
      </c>
      <c r="V15" s="7">
        <f t="shared" si="8"/>
        <v>30141</v>
      </c>
      <c r="W15" s="7">
        <f t="shared" si="9"/>
        <v>24537</v>
      </c>
      <c r="X15" s="6">
        <f t="shared" si="10"/>
        <v>1.228389779</v>
      </c>
      <c r="Y15" s="7">
        <f t="shared" ref="Y15:Z15" si="25">S15+V15</f>
        <v>30273</v>
      </c>
      <c r="Z15" s="7">
        <f t="shared" si="25"/>
        <v>24669</v>
      </c>
      <c r="AA15" s="6">
        <f t="shared" si="12"/>
        <v>1.2271677</v>
      </c>
      <c r="AB15" s="6">
        <f t="shared" si="13"/>
        <v>45.66476604</v>
      </c>
    </row>
    <row r="16">
      <c r="A16" s="6">
        <v>2024.0</v>
      </c>
      <c r="B16" s="6">
        <v>2.0</v>
      </c>
      <c r="C16" s="6">
        <v>18.0</v>
      </c>
      <c r="D16" s="6">
        <v>2.0</v>
      </c>
      <c r="E16" s="7">
        <v>58019.0</v>
      </c>
      <c r="F16" s="7">
        <v>89186.0</v>
      </c>
      <c r="G16" s="7">
        <v>15060.0</v>
      </c>
      <c r="H16" s="7">
        <v>14821.0</v>
      </c>
      <c r="I16" s="7">
        <v>14218.0</v>
      </c>
      <c r="J16" s="7">
        <v>24.0</v>
      </c>
      <c r="K16" s="7">
        <v>27218.0</v>
      </c>
      <c r="L16" s="7">
        <v>12.0</v>
      </c>
      <c r="M16" s="7">
        <v>26638.0</v>
      </c>
      <c r="N16" s="7">
        <v>0.0</v>
      </c>
      <c r="O16" s="7">
        <v>25630.0</v>
      </c>
      <c r="P16" s="7">
        <f t="shared" si="2"/>
        <v>58019</v>
      </c>
      <c r="Q16" s="7">
        <f t="shared" si="3"/>
        <v>15663</v>
      </c>
      <c r="R16" s="8">
        <f t="shared" si="4"/>
        <v>26.99632879</v>
      </c>
      <c r="S16" s="7">
        <f t="shared" si="5"/>
        <v>36</v>
      </c>
      <c r="T16" s="7">
        <f t="shared" si="6"/>
        <v>12</v>
      </c>
      <c r="U16" s="6">
        <f t="shared" si="7"/>
        <v>3</v>
      </c>
      <c r="V16" s="7">
        <f t="shared" si="8"/>
        <v>28226</v>
      </c>
      <c r="W16" s="7">
        <f t="shared" si="9"/>
        <v>26638</v>
      </c>
      <c r="X16" s="6">
        <f t="shared" si="10"/>
        <v>1.059614085</v>
      </c>
      <c r="Y16" s="7">
        <f t="shared" ref="Y16:Z16" si="26">S16+V16</f>
        <v>28262</v>
      </c>
      <c r="Z16" s="7">
        <f t="shared" si="26"/>
        <v>26650</v>
      </c>
      <c r="AA16" s="6">
        <f t="shared" si="12"/>
        <v>1.060487805</v>
      </c>
      <c r="AB16" s="6">
        <f t="shared" si="13"/>
        <v>31.68883009</v>
      </c>
    </row>
    <row r="17">
      <c r="A17" s="6">
        <v>2024.0</v>
      </c>
      <c r="B17" s="6">
        <v>2.0</v>
      </c>
      <c r="C17" s="6">
        <v>18.0</v>
      </c>
      <c r="D17" s="6">
        <v>1.0</v>
      </c>
      <c r="E17" s="7">
        <v>46582.0</v>
      </c>
      <c r="F17" s="7">
        <v>69622.0</v>
      </c>
      <c r="G17" s="7">
        <v>22070.0</v>
      </c>
      <c r="H17" s="7">
        <v>17133.0</v>
      </c>
      <c r="I17" s="7">
        <v>17114.0</v>
      </c>
      <c r="J17" s="7">
        <v>635.0</v>
      </c>
      <c r="K17" s="7">
        <v>38688.0</v>
      </c>
      <c r="L17" s="7">
        <v>334.0</v>
      </c>
      <c r="M17" s="7">
        <v>30245.0</v>
      </c>
      <c r="N17" s="7">
        <v>348.0</v>
      </c>
      <c r="O17" s="7">
        <v>30391.0</v>
      </c>
      <c r="P17" s="7">
        <f t="shared" si="2"/>
        <v>46582</v>
      </c>
      <c r="Q17" s="7">
        <f t="shared" si="3"/>
        <v>22089</v>
      </c>
      <c r="R17" s="8">
        <f t="shared" si="4"/>
        <v>47.41960414</v>
      </c>
      <c r="S17" s="7">
        <f t="shared" si="5"/>
        <v>621</v>
      </c>
      <c r="T17" s="7">
        <f t="shared" si="6"/>
        <v>334</v>
      </c>
      <c r="U17" s="6">
        <f t="shared" si="7"/>
        <v>1.859281437</v>
      </c>
      <c r="V17" s="7">
        <f t="shared" si="8"/>
        <v>38542</v>
      </c>
      <c r="W17" s="7">
        <f t="shared" si="9"/>
        <v>30245</v>
      </c>
      <c r="X17" s="6">
        <f t="shared" si="10"/>
        <v>1.274326335</v>
      </c>
      <c r="Y17" s="7">
        <f t="shared" ref="Y17:Z17" si="27">S17+V17</f>
        <v>39163</v>
      </c>
      <c r="Z17" s="7">
        <f t="shared" si="27"/>
        <v>30579</v>
      </c>
      <c r="AA17" s="6">
        <f t="shared" si="12"/>
        <v>1.280715524</v>
      </c>
      <c r="AB17" s="6">
        <f t="shared" si="13"/>
        <v>56.2508977</v>
      </c>
    </row>
    <row r="18">
      <c r="A18" s="6">
        <v>2024.0</v>
      </c>
      <c r="B18" s="6">
        <v>2.0</v>
      </c>
      <c r="C18" s="6">
        <v>18.0</v>
      </c>
      <c r="D18" s="6">
        <v>2.0</v>
      </c>
      <c r="E18" s="7">
        <v>41583.0</v>
      </c>
      <c r="F18" s="7">
        <v>63417.0</v>
      </c>
      <c r="G18" s="7">
        <v>11177.0</v>
      </c>
      <c r="H18" s="7">
        <v>10524.0</v>
      </c>
      <c r="I18" s="7">
        <v>10206.0</v>
      </c>
      <c r="J18" s="7">
        <v>0.0</v>
      </c>
      <c r="K18" s="7">
        <v>21287.0</v>
      </c>
      <c r="L18" s="7">
        <v>0.0</v>
      </c>
      <c r="M18" s="7">
        <v>19668.0</v>
      </c>
      <c r="N18" s="7">
        <v>0.0</v>
      </c>
      <c r="O18" s="7">
        <v>19401.0</v>
      </c>
      <c r="P18" s="7">
        <f t="shared" si="2"/>
        <v>41583</v>
      </c>
      <c r="Q18" s="7">
        <f t="shared" si="3"/>
        <v>11495</v>
      </c>
      <c r="R18" s="8">
        <f t="shared" si="4"/>
        <v>27.64350816</v>
      </c>
      <c r="S18" s="7">
        <f t="shared" si="5"/>
        <v>0</v>
      </c>
      <c r="T18" s="7">
        <f t="shared" si="6"/>
        <v>0</v>
      </c>
      <c r="U18" s="9" t="str">
        <f t="shared" si="7"/>
        <v>#DIV/0!</v>
      </c>
      <c r="V18" s="7">
        <f t="shared" si="8"/>
        <v>21554</v>
      </c>
      <c r="W18" s="7">
        <f t="shared" si="9"/>
        <v>19668</v>
      </c>
      <c r="X18" s="6">
        <f t="shared" si="10"/>
        <v>1.095891804</v>
      </c>
      <c r="Y18" s="7">
        <f t="shared" ref="Y18:Z18" si="28">S18+V18</f>
        <v>21554</v>
      </c>
      <c r="Z18" s="7">
        <f t="shared" si="28"/>
        <v>19668</v>
      </c>
      <c r="AA18" s="6">
        <f t="shared" si="12"/>
        <v>1.095891804</v>
      </c>
      <c r="AB18" s="6">
        <f t="shared" si="13"/>
        <v>33.987732</v>
      </c>
    </row>
    <row r="19">
      <c r="A19" s="6">
        <v>2024.0</v>
      </c>
      <c r="B19" s="6">
        <v>2.0</v>
      </c>
      <c r="C19" s="6">
        <v>18.0</v>
      </c>
      <c r="D19" s="6">
        <v>1.0</v>
      </c>
      <c r="E19" s="7">
        <v>9715.0</v>
      </c>
      <c r="F19" s="7">
        <v>13050.0</v>
      </c>
      <c r="G19" s="7">
        <v>3704.0</v>
      </c>
      <c r="H19" s="7">
        <v>3710.0</v>
      </c>
      <c r="I19" s="7">
        <v>2322.0</v>
      </c>
      <c r="J19" s="7">
        <v>0.0</v>
      </c>
      <c r="K19" s="7">
        <v>6569.0</v>
      </c>
      <c r="L19" s="7">
        <v>0.0</v>
      </c>
      <c r="M19" s="7">
        <v>6130.0</v>
      </c>
      <c r="N19" s="7">
        <v>0.0</v>
      </c>
      <c r="O19" s="7">
        <v>6157.0</v>
      </c>
      <c r="P19" s="7">
        <f t="shared" si="2"/>
        <v>9715</v>
      </c>
      <c r="Q19" s="7">
        <f t="shared" si="3"/>
        <v>5092</v>
      </c>
      <c r="R19" s="8">
        <f t="shared" si="4"/>
        <v>52.4137931</v>
      </c>
      <c r="S19" s="7">
        <f t="shared" si="5"/>
        <v>0</v>
      </c>
      <c r="T19" s="7">
        <f t="shared" si="6"/>
        <v>0</v>
      </c>
      <c r="U19" s="9" t="str">
        <f t="shared" si="7"/>
        <v>#DIV/0!</v>
      </c>
      <c r="V19" s="7">
        <f t="shared" si="8"/>
        <v>6542</v>
      </c>
      <c r="W19" s="7">
        <f t="shared" si="9"/>
        <v>6130</v>
      </c>
      <c r="X19" s="6">
        <f t="shared" si="10"/>
        <v>1.06721044</v>
      </c>
      <c r="Y19" s="7">
        <f t="shared" ref="Y19:Z19" si="29">S19+V19</f>
        <v>6542</v>
      </c>
      <c r="Z19" s="7">
        <f t="shared" si="29"/>
        <v>6130</v>
      </c>
      <c r="AA19" s="6">
        <f t="shared" si="12"/>
        <v>1.06721044</v>
      </c>
      <c r="AB19" s="6">
        <f t="shared" si="13"/>
        <v>50.1302682</v>
      </c>
    </row>
    <row r="20">
      <c r="A20" s="6">
        <v>2024.0</v>
      </c>
      <c r="B20" s="6">
        <v>3.0</v>
      </c>
      <c r="C20" s="6">
        <v>18.0</v>
      </c>
      <c r="D20" s="6">
        <v>1.0</v>
      </c>
      <c r="E20" s="7">
        <v>5113.0</v>
      </c>
      <c r="F20" s="7">
        <v>8163.0</v>
      </c>
      <c r="G20" s="7">
        <v>901.0</v>
      </c>
      <c r="H20" s="7">
        <v>900.0</v>
      </c>
      <c r="I20" s="7">
        <v>901.0</v>
      </c>
      <c r="J20" s="7">
        <v>0.0</v>
      </c>
      <c r="K20" s="7">
        <v>1801.0</v>
      </c>
      <c r="L20" s="7">
        <v>0.0</v>
      </c>
      <c r="M20" s="7">
        <v>1837.0</v>
      </c>
      <c r="N20" s="7">
        <v>0.0</v>
      </c>
      <c r="O20" s="7">
        <v>1801.0</v>
      </c>
      <c r="P20" s="7">
        <f t="shared" si="2"/>
        <v>5113</v>
      </c>
      <c r="Q20" s="7">
        <f t="shared" si="3"/>
        <v>900</v>
      </c>
      <c r="R20" s="8">
        <f t="shared" si="4"/>
        <v>17.60219049</v>
      </c>
      <c r="S20" s="7">
        <f t="shared" si="5"/>
        <v>0</v>
      </c>
      <c r="T20" s="7">
        <f t="shared" si="6"/>
        <v>0</v>
      </c>
      <c r="U20" s="9" t="str">
        <f t="shared" si="7"/>
        <v>#DIV/0!</v>
      </c>
      <c r="V20" s="7">
        <f t="shared" si="8"/>
        <v>1837</v>
      </c>
      <c r="W20" s="7">
        <f t="shared" si="9"/>
        <v>1837</v>
      </c>
      <c r="X20" s="6">
        <f t="shared" si="10"/>
        <v>1</v>
      </c>
      <c r="Y20" s="7">
        <f t="shared" ref="Y20:Z20" si="30">S20+V20</f>
        <v>1837</v>
      </c>
      <c r="Z20" s="7">
        <f t="shared" si="30"/>
        <v>1837</v>
      </c>
      <c r="AA20" s="6">
        <f t="shared" si="12"/>
        <v>1</v>
      </c>
      <c r="AB20" s="6">
        <f t="shared" si="13"/>
        <v>22.50398138</v>
      </c>
    </row>
    <row r="21">
      <c r="A21" s="6">
        <v>2024.0</v>
      </c>
      <c r="B21" s="6">
        <v>3.0</v>
      </c>
      <c r="C21" s="6">
        <v>18.0</v>
      </c>
      <c r="D21" s="6">
        <v>2.0</v>
      </c>
      <c r="E21" s="7">
        <v>11505.0</v>
      </c>
      <c r="F21" s="7">
        <v>21967.0</v>
      </c>
      <c r="G21" s="7">
        <v>1375.0</v>
      </c>
      <c r="H21" s="7">
        <v>1132.0</v>
      </c>
      <c r="I21" s="7">
        <v>1145.0</v>
      </c>
      <c r="J21" s="7">
        <v>328.0</v>
      </c>
      <c r="K21" s="7">
        <v>2617.0</v>
      </c>
      <c r="L21" s="7">
        <v>60.0</v>
      </c>
      <c r="M21" s="7">
        <v>2202.0</v>
      </c>
      <c r="N21" s="7">
        <v>62.0</v>
      </c>
      <c r="O21" s="7">
        <v>2234.0</v>
      </c>
      <c r="P21" s="7">
        <f t="shared" si="2"/>
        <v>11505</v>
      </c>
      <c r="Q21" s="7">
        <f t="shared" si="3"/>
        <v>1362</v>
      </c>
      <c r="R21" s="8">
        <f t="shared" si="4"/>
        <v>11.83833116</v>
      </c>
      <c r="S21" s="7">
        <f t="shared" si="5"/>
        <v>326</v>
      </c>
      <c r="T21" s="7">
        <f t="shared" si="6"/>
        <v>60</v>
      </c>
      <c r="U21" s="6">
        <f t="shared" si="7"/>
        <v>5.433333333</v>
      </c>
      <c r="V21" s="7">
        <f t="shared" si="8"/>
        <v>2585</v>
      </c>
      <c r="W21" s="7">
        <f t="shared" si="9"/>
        <v>2202</v>
      </c>
      <c r="X21" s="6">
        <f t="shared" si="10"/>
        <v>1.173932788</v>
      </c>
      <c r="Y21" s="7">
        <f t="shared" ref="Y21:Z21" si="31">S21+V21</f>
        <v>2911</v>
      </c>
      <c r="Z21" s="7">
        <f t="shared" si="31"/>
        <v>2262</v>
      </c>
      <c r="AA21" s="6">
        <f t="shared" si="12"/>
        <v>1.286914235</v>
      </c>
      <c r="AB21" s="6">
        <f t="shared" si="13"/>
        <v>13.25169573</v>
      </c>
    </row>
    <row r="22">
      <c r="A22" s="6">
        <v>2024.0</v>
      </c>
      <c r="B22" s="6">
        <v>3.0</v>
      </c>
      <c r="C22" s="6">
        <v>18.0</v>
      </c>
      <c r="D22" s="6">
        <v>1.0</v>
      </c>
      <c r="E22" s="7">
        <v>9982.0</v>
      </c>
      <c r="F22" s="7">
        <v>15128.0</v>
      </c>
      <c r="G22" s="7">
        <v>2394.0</v>
      </c>
      <c r="H22" s="7">
        <v>2350.0</v>
      </c>
      <c r="I22" s="7">
        <v>2424.0</v>
      </c>
      <c r="J22" s="7">
        <v>0.0</v>
      </c>
      <c r="K22" s="7">
        <v>5045.0</v>
      </c>
      <c r="L22" s="7">
        <v>0.0</v>
      </c>
      <c r="M22" s="7">
        <v>4642.0</v>
      </c>
      <c r="N22" s="7">
        <v>0.0</v>
      </c>
      <c r="O22" s="7">
        <v>4811.0</v>
      </c>
      <c r="P22" s="7">
        <f t="shared" si="2"/>
        <v>9982</v>
      </c>
      <c r="Q22" s="7">
        <f t="shared" si="3"/>
        <v>2320</v>
      </c>
      <c r="R22" s="8">
        <f t="shared" si="4"/>
        <v>23.2418353</v>
      </c>
      <c r="S22" s="7">
        <f t="shared" si="5"/>
        <v>0</v>
      </c>
      <c r="T22" s="7">
        <f t="shared" si="6"/>
        <v>0</v>
      </c>
      <c r="U22" s="9" t="str">
        <f t="shared" si="7"/>
        <v>#DIV/0!</v>
      </c>
      <c r="V22" s="7">
        <f t="shared" si="8"/>
        <v>4876</v>
      </c>
      <c r="W22" s="7">
        <f t="shared" si="9"/>
        <v>4642</v>
      </c>
      <c r="X22" s="6">
        <f t="shared" si="10"/>
        <v>1.050409306</v>
      </c>
      <c r="Y22" s="7">
        <f t="shared" ref="Y22:Z22" si="32">S22+V22</f>
        <v>4876</v>
      </c>
      <c r="Z22" s="7">
        <f t="shared" si="32"/>
        <v>4642</v>
      </c>
      <c r="AA22" s="6">
        <f t="shared" si="12"/>
        <v>1.050409306</v>
      </c>
      <c r="AB22" s="6">
        <f t="shared" si="13"/>
        <v>32.23162348</v>
      </c>
    </row>
    <row r="23">
      <c r="A23" s="6">
        <v>2024.0</v>
      </c>
      <c r="B23" s="6">
        <v>3.0</v>
      </c>
      <c r="C23" s="6">
        <v>18.0</v>
      </c>
      <c r="D23" s="6">
        <v>2.0</v>
      </c>
      <c r="E23" s="7">
        <v>94401.0</v>
      </c>
      <c r="F23" s="7">
        <v>149676.0</v>
      </c>
      <c r="G23" s="7">
        <v>21738.0</v>
      </c>
      <c r="H23" s="7">
        <v>20341.0</v>
      </c>
      <c r="I23" s="7">
        <v>20454.0</v>
      </c>
      <c r="J23" s="7">
        <v>349.0</v>
      </c>
      <c r="K23" s="7">
        <v>41768.0</v>
      </c>
      <c r="L23" s="7">
        <v>60.0</v>
      </c>
      <c r="M23" s="7">
        <v>39349.0</v>
      </c>
      <c r="N23" s="7">
        <v>59.0</v>
      </c>
      <c r="O23" s="7">
        <v>39547.0</v>
      </c>
      <c r="P23" s="7">
        <f t="shared" si="2"/>
        <v>94401</v>
      </c>
      <c r="Q23" s="7">
        <f t="shared" si="3"/>
        <v>21625</v>
      </c>
      <c r="R23" s="8">
        <f t="shared" si="4"/>
        <v>22.90759632</v>
      </c>
      <c r="S23" s="7">
        <f t="shared" si="5"/>
        <v>350</v>
      </c>
      <c r="T23" s="7">
        <f t="shared" si="6"/>
        <v>60</v>
      </c>
      <c r="U23" s="6">
        <f t="shared" si="7"/>
        <v>5.833333333</v>
      </c>
      <c r="V23" s="7">
        <f t="shared" si="8"/>
        <v>41570</v>
      </c>
      <c r="W23" s="7">
        <f t="shared" si="9"/>
        <v>39349</v>
      </c>
      <c r="X23" s="6">
        <f t="shared" si="10"/>
        <v>1.05644362</v>
      </c>
      <c r="Y23" s="7">
        <f t="shared" ref="Y23:Z23" si="33">S23+V23</f>
        <v>41920</v>
      </c>
      <c r="Z23" s="7">
        <f t="shared" si="33"/>
        <v>39409</v>
      </c>
      <c r="AA23" s="6">
        <f t="shared" si="12"/>
        <v>1.06371641</v>
      </c>
      <c r="AB23" s="6">
        <f t="shared" si="13"/>
        <v>28.00716214</v>
      </c>
    </row>
    <row r="24">
      <c r="A24" s="6">
        <v>2024.0</v>
      </c>
      <c r="B24" s="6">
        <v>3.0</v>
      </c>
      <c r="C24" s="6">
        <v>18.0</v>
      </c>
      <c r="D24" s="6">
        <v>1.0</v>
      </c>
      <c r="E24" s="7">
        <v>45508.0</v>
      </c>
      <c r="F24" s="7">
        <v>68510.0</v>
      </c>
      <c r="G24" s="7">
        <v>16705.0</v>
      </c>
      <c r="H24" s="7">
        <v>13622.0</v>
      </c>
      <c r="I24" s="7">
        <v>13866.0</v>
      </c>
      <c r="J24" s="7">
        <v>95.0</v>
      </c>
      <c r="K24" s="7">
        <v>32785.0</v>
      </c>
      <c r="L24" s="7">
        <v>54.0</v>
      </c>
      <c r="M24" s="7">
        <v>23247.0</v>
      </c>
      <c r="N24" s="7">
        <v>53.0</v>
      </c>
      <c r="O24" s="7">
        <v>23483.0</v>
      </c>
      <c r="P24" s="7">
        <f t="shared" si="2"/>
        <v>45508</v>
      </c>
      <c r="Q24" s="7">
        <f t="shared" si="3"/>
        <v>16461</v>
      </c>
      <c r="R24" s="8">
        <f t="shared" si="4"/>
        <v>36.17166213</v>
      </c>
      <c r="S24" s="7">
        <f t="shared" si="5"/>
        <v>96</v>
      </c>
      <c r="T24" s="7">
        <f t="shared" si="6"/>
        <v>54</v>
      </c>
      <c r="U24" s="6">
        <f t="shared" si="7"/>
        <v>1.777777778</v>
      </c>
      <c r="V24" s="7">
        <f t="shared" si="8"/>
        <v>32549</v>
      </c>
      <c r="W24" s="7">
        <f t="shared" si="9"/>
        <v>23247</v>
      </c>
      <c r="X24" s="6">
        <f t="shared" si="10"/>
        <v>1.400137652</v>
      </c>
      <c r="Y24" s="7">
        <f t="shared" ref="Y24:Z24" si="34">S24+V24</f>
        <v>32645</v>
      </c>
      <c r="Z24" s="7">
        <f t="shared" si="34"/>
        <v>23301</v>
      </c>
      <c r="AA24" s="6">
        <f t="shared" si="12"/>
        <v>1.401012832</v>
      </c>
      <c r="AB24" s="6">
        <f t="shared" si="13"/>
        <v>47.64997811</v>
      </c>
    </row>
    <row r="25">
      <c r="A25" s="6">
        <v>2024.0</v>
      </c>
      <c r="B25" s="6">
        <v>3.0</v>
      </c>
      <c r="C25" s="6">
        <v>18.0</v>
      </c>
      <c r="D25" s="6">
        <v>2.0</v>
      </c>
      <c r="E25" s="7">
        <v>57097.0</v>
      </c>
      <c r="F25" s="7">
        <v>88462.0</v>
      </c>
      <c r="G25" s="7">
        <v>12447.0</v>
      </c>
      <c r="H25" s="7">
        <v>11925.0</v>
      </c>
      <c r="I25" s="7">
        <v>11992.0</v>
      </c>
      <c r="J25" s="7">
        <v>15.0</v>
      </c>
      <c r="K25" s="7">
        <v>24363.0</v>
      </c>
      <c r="L25" s="7">
        <v>12.0</v>
      </c>
      <c r="M25" s="7">
        <v>20860.0</v>
      </c>
      <c r="N25" s="7">
        <v>4.0</v>
      </c>
      <c r="O25" s="7">
        <v>20839.0</v>
      </c>
      <c r="P25" s="7">
        <f t="shared" si="2"/>
        <v>57097</v>
      </c>
      <c r="Q25" s="7">
        <f t="shared" si="3"/>
        <v>12380</v>
      </c>
      <c r="R25" s="8">
        <f t="shared" si="4"/>
        <v>21.68240013</v>
      </c>
      <c r="S25" s="7">
        <f t="shared" si="5"/>
        <v>23</v>
      </c>
      <c r="T25" s="7">
        <f t="shared" si="6"/>
        <v>12</v>
      </c>
      <c r="U25" s="6">
        <f t="shared" si="7"/>
        <v>1.916666667</v>
      </c>
      <c r="V25" s="7">
        <f t="shared" si="8"/>
        <v>24384</v>
      </c>
      <c r="W25" s="7">
        <f t="shared" si="9"/>
        <v>20860</v>
      </c>
      <c r="X25" s="6">
        <f t="shared" si="10"/>
        <v>1.168935762</v>
      </c>
      <c r="Y25" s="7">
        <f t="shared" ref="Y25:Z25" si="35">S25+V25</f>
        <v>24407</v>
      </c>
      <c r="Z25" s="7">
        <f t="shared" si="35"/>
        <v>20872</v>
      </c>
      <c r="AA25" s="6">
        <f t="shared" si="12"/>
        <v>1.169365657</v>
      </c>
      <c r="AB25" s="6">
        <f t="shared" si="13"/>
        <v>27.59037779</v>
      </c>
    </row>
    <row r="26">
      <c r="A26" s="6">
        <v>2024.0</v>
      </c>
      <c r="B26" s="6">
        <v>3.0</v>
      </c>
      <c r="C26" s="6">
        <v>18.0</v>
      </c>
      <c r="D26" s="6">
        <v>1.0</v>
      </c>
      <c r="E26" s="7">
        <v>44561.0</v>
      </c>
      <c r="F26" s="7">
        <v>66923.0</v>
      </c>
      <c r="G26" s="7">
        <v>16360.0</v>
      </c>
      <c r="H26" s="7">
        <v>11301.0</v>
      </c>
      <c r="I26" s="7">
        <v>11575.0</v>
      </c>
      <c r="J26" s="7">
        <v>535.0</v>
      </c>
      <c r="K26" s="7">
        <v>28096.0</v>
      </c>
      <c r="L26" s="7">
        <v>358.0</v>
      </c>
      <c r="M26" s="7">
        <v>20432.0</v>
      </c>
      <c r="N26" s="7">
        <v>366.0</v>
      </c>
      <c r="O26" s="7">
        <v>21000.0</v>
      </c>
      <c r="P26" s="7">
        <f t="shared" si="2"/>
        <v>44561</v>
      </c>
      <c r="Q26" s="7">
        <f t="shared" si="3"/>
        <v>16086</v>
      </c>
      <c r="R26" s="8">
        <f t="shared" si="4"/>
        <v>36.09883082</v>
      </c>
      <c r="S26" s="7">
        <f t="shared" si="5"/>
        <v>527</v>
      </c>
      <c r="T26" s="7">
        <f t="shared" si="6"/>
        <v>358</v>
      </c>
      <c r="U26" s="6">
        <f t="shared" si="7"/>
        <v>1.472067039</v>
      </c>
      <c r="V26" s="7">
        <f t="shared" si="8"/>
        <v>27528</v>
      </c>
      <c r="W26" s="7">
        <f t="shared" si="9"/>
        <v>20432</v>
      </c>
      <c r="X26" s="6">
        <f t="shared" si="10"/>
        <v>1.347298356</v>
      </c>
      <c r="Y26" s="7">
        <f t="shared" ref="Y26:Z26" si="36">S26+V26</f>
        <v>28055</v>
      </c>
      <c r="Z26" s="7">
        <f t="shared" si="36"/>
        <v>20790</v>
      </c>
      <c r="AA26" s="6">
        <f t="shared" si="12"/>
        <v>1.349446849</v>
      </c>
      <c r="AB26" s="6">
        <f t="shared" si="13"/>
        <v>41.92131255</v>
      </c>
    </row>
    <row r="27">
      <c r="A27" s="6">
        <v>2024.0</v>
      </c>
      <c r="B27" s="6">
        <v>3.0</v>
      </c>
      <c r="C27" s="6">
        <v>18.0</v>
      </c>
      <c r="D27" s="6">
        <v>2.0</v>
      </c>
      <c r="E27" s="7">
        <v>36158.0</v>
      </c>
      <c r="F27" s="7">
        <v>54589.0</v>
      </c>
      <c r="G27" s="7">
        <v>9537.0</v>
      </c>
      <c r="H27" s="7">
        <v>8290.0</v>
      </c>
      <c r="I27" s="7">
        <v>8403.0</v>
      </c>
      <c r="J27" s="7">
        <v>3.0</v>
      </c>
      <c r="K27" s="7">
        <v>19253.0</v>
      </c>
      <c r="L27" s="7">
        <v>3.0</v>
      </c>
      <c r="M27" s="7">
        <v>16151.0</v>
      </c>
      <c r="N27" s="7">
        <v>3.0</v>
      </c>
      <c r="O27" s="7">
        <v>16353.0</v>
      </c>
      <c r="P27" s="7">
        <f t="shared" si="2"/>
        <v>36158</v>
      </c>
      <c r="Q27" s="7">
        <f t="shared" si="3"/>
        <v>9424</v>
      </c>
      <c r="R27" s="8">
        <f t="shared" si="4"/>
        <v>26.06338846</v>
      </c>
      <c r="S27" s="7">
        <f t="shared" si="5"/>
        <v>3</v>
      </c>
      <c r="T27" s="7">
        <f t="shared" si="6"/>
        <v>3</v>
      </c>
      <c r="U27" s="6">
        <f t="shared" si="7"/>
        <v>1</v>
      </c>
      <c r="V27" s="7">
        <f t="shared" si="8"/>
        <v>19051</v>
      </c>
      <c r="W27" s="7">
        <f t="shared" si="9"/>
        <v>16151</v>
      </c>
      <c r="X27" s="6">
        <f t="shared" si="10"/>
        <v>1.179555445</v>
      </c>
      <c r="Y27" s="7">
        <f t="shared" ref="Y27:Z27" si="37">S27+V27</f>
        <v>19054</v>
      </c>
      <c r="Z27" s="7">
        <f t="shared" si="37"/>
        <v>16154</v>
      </c>
      <c r="AA27" s="6">
        <f t="shared" si="12"/>
        <v>1.1795221</v>
      </c>
      <c r="AB27" s="6">
        <f t="shared" si="13"/>
        <v>34.90446793</v>
      </c>
    </row>
    <row r="28">
      <c r="A28" s="6">
        <v>2024.0</v>
      </c>
      <c r="B28" s="6">
        <v>3.0</v>
      </c>
      <c r="C28" s="6">
        <v>18.0</v>
      </c>
      <c r="D28" s="6">
        <v>1.0</v>
      </c>
      <c r="E28" s="7">
        <v>10385.0</v>
      </c>
      <c r="F28" s="7">
        <v>13950.0</v>
      </c>
      <c r="G28" s="7">
        <v>6513.0</v>
      </c>
      <c r="H28" s="7">
        <v>2455.0</v>
      </c>
      <c r="I28" s="7">
        <v>2280.0</v>
      </c>
      <c r="J28" s="7">
        <v>0.0</v>
      </c>
      <c r="K28" s="7">
        <v>12521.0</v>
      </c>
      <c r="L28" s="7">
        <v>0.0</v>
      </c>
      <c r="M28" s="7">
        <v>4429.0</v>
      </c>
      <c r="N28" s="7">
        <v>0.0</v>
      </c>
      <c r="O28" s="7">
        <v>3991.0</v>
      </c>
      <c r="P28" s="7">
        <f t="shared" si="2"/>
        <v>10385</v>
      </c>
      <c r="Q28" s="7">
        <f t="shared" si="3"/>
        <v>6688</v>
      </c>
      <c r="R28" s="8">
        <f t="shared" si="4"/>
        <v>64.40057776</v>
      </c>
      <c r="S28" s="7">
        <f t="shared" si="5"/>
        <v>0</v>
      </c>
      <c r="T28" s="7">
        <f t="shared" si="6"/>
        <v>0</v>
      </c>
      <c r="U28" s="9" t="str">
        <f t="shared" si="7"/>
        <v>#DIV/0!</v>
      </c>
      <c r="V28" s="7">
        <f t="shared" si="8"/>
        <v>12959</v>
      </c>
      <c r="W28" s="7">
        <f t="shared" si="9"/>
        <v>4429</v>
      </c>
      <c r="X28" s="6">
        <f t="shared" si="10"/>
        <v>2.925942651</v>
      </c>
      <c r="Y28" s="7">
        <f t="shared" ref="Y28:Z28" si="38">S28+V28</f>
        <v>12959</v>
      </c>
      <c r="Z28" s="7">
        <f t="shared" si="38"/>
        <v>4429</v>
      </c>
      <c r="AA28" s="6">
        <f t="shared" si="12"/>
        <v>2.925942651</v>
      </c>
      <c r="AB28" s="6">
        <f t="shared" si="13"/>
        <v>92.89605735</v>
      </c>
    </row>
    <row r="29">
      <c r="A29" s="6">
        <v>2024.0</v>
      </c>
      <c r="B29" s="6">
        <v>4.0</v>
      </c>
      <c r="C29" s="6">
        <v>18.0</v>
      </c>
      <c r="D29" s="6">
        <v>1.0</v>
      </c>
      <c r="E29" s="7">
        <v>3720.0</v>
      </c>
      <c r="F29" s="7">
        <v>5940.0</v>
      </c>
      <c r="G29" s="7">
        <v>770.0</v>
      </c>
      <c r="H29" s="7">
        <v>742.0</v>
      </c>
      <c r="I29" s="7">
        <v>741.0</v>
      </c>
      <c r="J29" s="7">
        <v>0.0</v>
      </c>
      <c r="K29" s="7">
        <v>1533.0</v>
      </c>
      <c r="L29" s="7">
        <v>0.0</v>
      </c>
      <c r="M29" s="7">
        <v>1477.0</v>
      </c>
      <c r="N29" s="7">
        <v>0.0</v>
      </c>
      <c r="O29" s="7">
        <v>1475.0</v>
      </c>
      <c r="P29" s="7">
        <f t="shared" si="2"/>
        <v>3720</v>
      </c>
      <c r="Q29" s="7">
        <f t="shared" si="3"/>
        <v>771</v>
      </c>
      <c r="R29" s="8">
        <f t="shared" si="4"/>
        <v>20.72580645</v>
      </c>
      <c r="S29" s="7">
        <f t="shared" si="5"/>
        <v>0</v>
      </c>
      <c r="T29" s="7">
        <f t="shared" si="6"/>
        <v>0</v>
      </c>
      <c r="U29" s="9" t="str">
        <f t="shared" si="7"/>
        <v>#DIV/0!</v>
      </c>
      <c r="V29" s="7">
        <f t="shared" si="8"/>
        <v>1535</v>
      </c>
      <c r="W29" s="7">
        <f t="shared" si="9"/>
        <v>1477</v>
      </c>
      <c r="X29" s="6">
        <f t="shared" si="10"/>
        <v>1.039268788</v>
      </c>
      <c r="Y29" s="7">
        <f t="shared" ref="Y29:Z29" si="39">S29+V29</f>
        <v>1535</v>
      </c>
      <c r="Z29" s="7">
        <f t="shared" si="39"/>
        <v>1477</v>
      </c>
      <c r="AA29" s="6">
        <f t="shared" si="12"/>
        <v>1.039268788</v>
      </c>
      <c r="AB29" s="6">
        <f t="shared" si="13"/>
        <v>25.84175084</v>
      </c>
    </row>
    <row r="30">
      <c r="A30" s="6">
        <v>2024.0</v>
      </c>
      <c r="B30" s="6">
        <v>4.0</v>
      </c>
      <c r="C30" s="6">
        <v>18.0</v>
      </c>
      <c r="D30" s="6">
        <v>2.0</v>
      </c>
      <c r="E30" s="7">
        <v>10960.0</v>
      </c>
      <c r="F30" s="7">
        <v>20904.0</v>
      </c>
      <c r="G30" s="7">
        <v>2267.0</v>
      </c>
      <c r="H30" s="7">
        <v>1594.0</v>
      </c>
      <c r="I30" s="7">
        <v>1587.0</v>
      </c>
      <c r="J30" s="7">
        <v>1146.0</v>
      </c>
      <c r="K30" s="7">
        <v>3649.0</v>
      </c>
      <c r="L30" s="7">
        <v>152.0</v>
      </c>
      <c r="M30" s="7">
        <v>3168.0</v>
      </c>
      <c r="N30" s="7">
        <v>144.0</v>
      </c>
      <c r="O30" s="7">
        <v>3156.0</v>
      </c>
      <c r="P30" s="7">
        <f t="shared" si="2"/>
        <v>10960</v>
      </c>
      <c r="Q30" s="7">
        <f t="shared" si="3"/>
        <v>2274</v>
      </c>
      <c r="R30" s="8">
        <f t="shared" si="4"/>
        <v>20.74817518</v>
      </c>
      <c r="S30" s="7">
        <f t="shared" si="5"/>
        <v>1154</v>
      </c>
      <c r="T30" s="7">
        <f t="shared" si="6"/>
        <v>152</v>
      </c>
      <c r="U30" s="6">
        <f t="shared" si="7"/>
        <v>7.592105263</v>
      </c>
      <c r="V30" s="7">
        <f t="shared" si="8"/>
        <v>3661</v>
      </c>
      <c r="W30" s="7">
        <f t="shared" si="9"/>
        <v>3168</v>
      </c>
      <c r="X30" s="6">
        <f t="shared" si="10"/>
        <v>1.155618687</v>
      </c>
      <c r="Y30" s="7">
        <f t="shared" ref="Y30:Z30" si="40">S30+V30</f>
        <v>4815</v>
      </c>
      <c r="Z30" s="7">
        <f t="shared" si="40"/>
        <v>3320</v>
      </c>
      <c r="AA30" s="6">
        <f t="shared" si="12"/>
        <v>1.450301205</v>
      </c>
      <c r="AB30" s="6">
        <f t="shared" si="13"/>
        <v>23.03386912</v>
      </c>
    </row>
    <row r="31">
      <c r="A31" s="6">
        <v>2024.0</v>
      </c>
      <c r="B31" s="6">
        <v>4.0</v>
      </c>
      <c r="C31" s="6">
        <v>18.0</v>
      </c>
      <c r="D31" s="6">
        <v>1.0</v>
      </c>
      <c r="E31" s="7">
        <v>5820.0</v>
      </c>
      <c r="F31" s="7">
        <v>7530.0</v>
      </c>
      <c r="G31" s="7">
        <v>2190.0</v>
      </c>
      <c r="H31" s="7">
        <v>2211.0</v>
      </c>
      <c r="I31" s="7">
        <v>2190.0</v>
      </c>
      <c r="J31" s="7">
        <v>0.0</v>
      </c>
      <c r="K31" s="7">
        <v>4383.0</v>
      </c>
      <c r="L31" s="7">
        <v>0.0</v>
      </c>
      <c r="M31" s="7">
        <v>4424.0</v>
      </c>
      <c r="N31" s="7">
        <v>0.0</v>
      </c>
      <c r="O31" s="7">
        <v>4383.0</v>
      </c>
      <c r="P31" s="7">
        <f t="shared" si="2"/>
        <v>5820</v>
      </c>
      <c r="Q31" s="7">
        <f t="shared" si="3"/>
        <v>2211</v>
      </c>
      <c r="R31" s="8">
        <f t="shared" si="4"/>
        <v>37.98969072</v>
      </c>
      <c r="S31" s="7">
        <f t="shared" si="5"/>
        <v>0</v>
      </c>
      <c r="T31" s="7">
        <f t="shared" si="6"/>
        <v>0</v>
      </c>
      <c r="U31" s="9" t="str">
        <f t="shared" si="7"/>
        <v>#DIV/0!</v>
      </c>
      <c r="V31" s="7">
        <f t="shared" si="8"/>
        <v>4424</v>
      </c>
      <c r="W31" s="7">
        <f t="shared" si="9"/>
        <v>4424</v>
      </c>
      <c r="X31" s="6">
        <f t="shared" si="10"/>
        <v>1</v>
      </c>
      <c r="Y31" s="7">
        <f t="shared" ref="Y31:Z31" si="41">S31+V31</f>
        <v>4424</v>
      </c>
      <c r="Z31" s="7">
        <f t="shared" si="41"/>
        <v>4424</v>
      </c>
      <c r="AA31" s="6">
        <f t="shared" si="12"/>
        <v>1</v>
      </c>
      <c r="AB31" s="6">
        <f t="shared" si="13"/>
        <v>58.75166003</v>
      </c>
    </row>
    <row r="32">
      <c r="A32" s="6">
        <v>2024.0</v>
      </c>
      <c r="B32" s="6">
        <v>4.0</v>
      </c>
      <c r="C32" s="6">
        <v>18.0</v>
      </c>
      <c r="D32" s="6">
        <v>2.0</v>
      </c>
      <c r="E32" s="7">
        <v>90670.0</v>
      </c>
      <c r="F32" s="7">
        <v>142904.0</v>
      </c>
      <c r="G32" s="7">
        <v>23698.0</v>
      </c>
      <c r="H32" s="7">
        <v>22228.0</v>
      </c>
      <c r="I32" s="7">
        <v>22405.0</v>
      </c>
      <c r="J32" s="7">
        <v>750.0</v>
      </c>
      <c r="K32" s="7">
        <v>45191.0</v>
      </c>
      <c r="L32" s="7">
        <v>104.0</v>
      </c>
      <c r="M32" s="7">
        <v>42700.0</v>
      </c>
      <c r="N32" s="7">
        <v>104.0</v>
      </c>
      <c r="O32" s="7">
        <v>42394.0</v>
      </c>
      <c r="P32" s="7">
        <f t="shared" si="2"/>
        <v>90670</v>
      </c>
      <c r="Q32" s="7">
        <f t="shared" si="3"/>
        <v>23521</v>
      </c>
      <c r="R32" s="8">
        <f t="shared" si="4"/>
        <v>25.94132569</v>
      </c>
      <c r="S32" s="7">
        <f t="shared" si="5"/>
        <v>750</v>
      </c>
      <c r="T32" s="7">
        <f t="shared" si="6"/>
        <v>104</v>
      </c>
      <c r="U32" s="6">
        <f t="shared" si="7"/>
        <v>7.211538462</v>
      </c>
      <c r="V32" s="7">
        <f t="shared" si="8"/>
        <v>45497</v>
      </c>
      <c r="W32" s="7">
        <f t="shared" si="9"/>
        <v>42700</v>
      </c>
      <c r="X32" s="6">
        <f t="shared" si="10"/>
        <v>1.065503513</v>
      </c>
      <c r="Y32" s="7">
        <f t="shared" ref="Y32:Z32" si="42">S32+V32</f>
        <v>46247</v>
      </c>
      <c r="Z32" s="7">
        <f t="shared" si="42"/>
        <v>42804</v>
      </c>
      <c r="AA32" s="6">
        <f t="shared" si="12"/>
        <v>1.080436408</v>
      </c>
      <c r="AB32" s="6">
        <f t="shared" si="13"/>
        <v>32.36228517</v>
      </c>
    </row>
    <row r="33">
      <c r="A33" s="6">
        <v>2024.0</v>
      </c>
      <c r="B33" s="6">
        <v>4.0</v>
      </c>
      <c r="C33" s="6">
        <v>18.0</v>
      </c>
      <c r="D33" s="6">
        <v>1.0</v>
      </c>
      <c r="E33" s="7">
        <v>44040.0</v>
      </c>
      <c r="F33" s="7">
        <v>66300.0</v>
      </c>
      <c r="G33" s="7">
        <v>19100.0</v>
      </c>
      <c r="H33" s="7">
        <v>15578.0</v>
      </c>
      <c r="I33" s="7">
        <v>15624.0</v>
      </c>
      <c r="J33" s="7">
        <v>66.0</v>
      </c>
      <c r="K33" s="7">
        <v>35477.0</v>
      </c>
      <c r="L33" s="7">
        <v>60.0</v>
      </c>
      <c r="M33" s="7">
        <v>28950.0</v>
      </c>
      <c r="N33" s="7">
        <v>61.0</v>
      </c>
      <c r="O33" s="7">
        <v>29005.0</v>
      </c>
      <c r="P33" s="7">
        <f t="shared" si="2"/>
        <v>44040</v>
      </c>
      <c r="Q33" s="7">
        <f t="shared" si="3"/>
        <v>19054</v>
      </c>
      <c r="R33" s="8">
        <f t="shared" si="4"/>
        <v>43.26521344</v>
      </c>
      <c r="S33" s="7">
        <f t="shared" si="5"/>
        <v>65</v>
      </c>
      <c r="T33" s="7">
        <f t="shared" si="6"/>
        <v>60</v>
      </c>
      <c r="U33" s="6">
        <f t="shared" si="7"/>
        <v>1.083333333</v>
      </c>
      <c r="V33" s="7">
        <f t="shared" si="8"/>
        <v>35422</v>
      </c>
      <c r="W33" s="7">
        <f t="shared" si="9"/>
        <v>28950</v>
      </c>
      <c r="X33" s="6">
        <f t="shared" si="10"/>
        <v>1.223557858</v>
      </c>
      <c r="Y33" s="7">
        <f t="shared" ref="Y33:Z33" si="43">S33+V33</f>
        <v>35487</v>
      </c>
      <c r="Z33" s="7">
        <f t="shared" si="43"/>
        <v>29010</v>
      </c>
      <c r="AA33" s="6">
        <f t="shared" si="12"/>
        <v>1.223267839</v>
      </c>
      <c r="AB33" s="6">
        <f t="shared" si="13"/>
        <v>53.52488688</v>
      </c>
    </row>
    <row r="34">
      <c r="A34" s="6">
        <v>2024.0</v>
      </c>
      <c r="B34" s="6">
        <v>4.0</v>
      </c>
      <c r="C34" s="6">
        <v>18.0</v>
      </c>
      <c r="D34" s="6">
        <v>2.0</v>
      </c>
      <c r="E34" s="7">
        <v>58363.0</v>
      </c>
      <c r="F34" s="7">
        <v>91593.0</v>
      </c>
      <c r="G34" s="7">
        <v>16931.0</v>
      </c>
      <c r="H34" s="7">
        <v>15021.0</v>
      </c>
      <c r="I34" s="7">
        <v>14817.0</v>
      </c>
      <c r="J34" s="7">
        <v>0.0</v>
      </c>
      <c r="K34" s="7">
        <v>29623.0</v>
      </c>
      <c r="L34" s="7">
        <v>0.0</v>
      </c>
      <c r="M34" s="7">
        <v>27765.0</v>
      </c>
      <c r="N34" s="7">
        <v>0.0</v>
      </c>
      <c r="O34" s="7">
        <v>27499.0</v>
      </c>
      <c r="P34" s="7">
        <f t="shared" si="2"/>
        <v>58363</v>
      </c>
      <c r="Q34" s="7">
        <f t="shared" si="3"/>
        <v>17135</v>
      </c>
      <c r="R34" s="8">
        <f t="shared" si="4"/>
        <v>29.35935439</v>
      </c>
      <c r="S34" s="7">
        <f t="shared" si="5"/>
        <v>0</v>
      </c>
      <c r="T34" s="7">
        <f t="shared" si="6"/>
        <v>0</v>
      </c>
      <c r="U34" s="9" t="str">
        <f t="shared" si="7"/>
        <v>#DIV/0!</v>
      </c>
      <c r="V34" s="7">
        <f t="shared" si="8"/>
        <v>29889</v>
      </c>
      <c r="W34" s="7">
        <f t="shared" si="9"/>
        <v>27765</v>
      </c>
      <c r="X34" s="6">
        <f t="shared" si="10"/>
        <v>1.07649919</v>
      </c>
      <c r="Y34" s="7">
        <f t="shared" ref="Y34:Z34" si="44">S34+V34</f>
        <v>29889</v>
      </c>
      <c r="Z34" s="7">
        <f t="shared" si="44"/>
        <v>27765</v>
      </c>
      <c r="AA34" s="6">
        <f t="shared" si="12"/>
        <v>1.07649919</v>
      </c>
      <c r="AB34" s="6">
        <f t="shared" si="13"/>
        <v>32.63240641</v>
      </c>
    </row>
    <row r="35">
      <c r="A35" s="6">
        <v>2024.0</v>
      </c>
      <c r="B35" s="6">
        <v>4.0</v>
      </c>
      <c r="C35" s="6">
        <v>18.0</v>
      </c>
      <c r="D35" s="6">
        <v>1.0</v>
      </c>
      <c r="E35" s="7">
        <v>48180.0</v>
      </c>
      <c r="F35" s="7">
        <v>71070.0</v>
      </c>
      <c r="G35" s="7">
        <v>18714.0</v>
      </c>
      <c r="H35" s="7">
        <v>14748.0</v>
      </c>
      <c r="I35" s="7">
        <v>14556.0</v>
      </c>
      <c r="J35" s="7">
        <v>481.0</v>
      </c>
      <c r="K35" s="7">
        <v>33637.0</v>
      </c>
      <c r="L35" s="7">
        <v>312.0</v>
      </c>
      <c r="M35" s="7">
        <v>27304.0</v>
      </c>
      <c r="N35" s="7">
        <v>301.0</v>
      </c>
      <c r="O35" s="7">
        <v>26799.0</v>
      </c>
      <c r="P35" s="7">
        <f t="shared" si="2"/>
        <v>48180</v>
      </c>
      <c r="Q35" s="7">
        <f t="shared" si="3"/>
        <v>18906</v>
      </c>
      <c r="R35" s="8">
        <f t="shared" si="4"/>
        <v>39.24034869</v>
      </c>
      <c r="S35" s="7">
        <f t="shared" si="5"/>
        <v>492</v>
      </c>
      <c r="T35" s="7">
        <f t="shared" si="6"/>
        <v>312</v>
      </c>
      <c r="U35" s="6">
        <f t="shared" si="7"/>
        <v>1.576923077</v>
      </c>
      <c r="V35" s="7">
        <f t="shared" si="8"/>
        <v>34142</v>
      </c>
      <c r="W35" s="7">
        <f t="shared" si="9"/>
        <v>27304</v>
      </c>
      <c r="X35" s="6">
        <f t="shared" si="10"/>
        <v>1.250439496</v>
      </c>
      <c r="Y35" s="7">
        <f t="shared" ref="Y35:Z35" si="45">S35+V35</f>
        <v>34634</v>
      </c>
      <c r="Z35" s="7">
        <f t="shared" si="45"/>
        <v>27616</v>
      </c>
      <c r="AA35" s="6">
        <f t="shared" si="12"/>
        <v>1.254128042</v>
      </c>
      <c r="AB35" s="6">
        <f t="shared" si="13"/>
        <v>48.73223582</v>
      </c>
    </row>
    <row r="36">
      <c r="A36" s="6">
        <v>2024.0</v>
      </c>
      <c r="B36" s="6">
        <v>4.0</v>
      </c>
      <c r="C36" s="6">
        <v>18.0</v>
      </c>
      <c r="D36" s="6">
        <v>2.0</v>
      </c>
      <c r="E36" s="7">
        <v>35466.0</v>
      </c>
      <c r="F36" s="7">
        <v>53502.0</v>
      </c>
      <c r="G36" s="7">
        <v>11383.0</v>
      </c>
      <c r="H36" s="7">
        <v>9420.0</v>
      </c>
      <c r="I36" s="7">
        <v>9290.0</v>
      </c>
      <c r="J36" s="7">
        <v>0.0</v>
      </c>
      <c r="K36" s="7">
        <v>21509.0</v>
      </c>
      <c r="L36" s="7">
        <v>0.0</v>
      </c>
      <c r="M36" s="7">
        <v>18220.0</v>
      </c>
      <c r="N36" s="7">
        <v>0.0</v>
      </c>
      <c r="O36" s="7">
        <v>18023.0</v>
      </c>
      <c r="P36" s="7">
        <f t="shared" si="2"/>
        <v>35466</v>
      </c>
      <c r="Q36" s="7">
        <f t="shared" si="3"/>
        <v>11513</v>
      </c>
      <c r="R36" s="8">
        <f t="shared" si="4"/>
        <v>32.46207635</v>
      </c>
      <c r="S36" s="7">
        <f t="shared" si="5"/>
        <v>0</v>
      </c>
      <c r="T36" s="7">
        <f t="shared" si="6"/>
        <v>0</v>
      </c>
      <c r="U36" s="9" t="str">
        <f t="shared" si="7"/>
        <v>#DIV/0!</v>
      </c>
      <c r="V36" s="7">
        <f t="shared" si="8"/>
        <v>21706</v>
      </c>
      <c r="W36" s="7">
        <f t="shared" si="9"/>
        <v>18220</v>
      </c>
      <c r="X36" s="6">
        <f t="shared" si="10"/>
        <v>1.191328211</v>
      </c>
      <c r="Y36" s="7">
        <f t="shared" ref="Y36:Z36" si="46">S36+V36</f>
        <v>21706</v>
      </c>
      <c r="Z36" s="7">
        <f t="shared" si="46"/>
        <v>18220</v>
      </c>
      <c r="AA36" s="6">
        <f t="shared" si="12"/>
        <v>1.191328211</v>
      </c>
      <c r="AB36" s="6">
        <f t="shared" si="13"/>
        <v>40.57044596</v>
      </c>
    </row>
    <row r="37">
      <c r="A37" s="6">
        <v>2024.0</v>
      </c>
      <c r="B37" s="6">
        <v>4.0</v>
      </c>
      <c r="C37" s="6">
        <v>18.0</v>
      </c>
      <c r="D37" s="6">
        <v>1.0</v>
      </c>
      <c r="E37" s="7">
        <v>10050.0</v>
      </c>
      <c r="F37" s="7">
        <v>13500.0</v>
      </c>
      <c r="G37" s="7">
        <v>2878.0</v>
      </c>
      <c r="H37" s="7">
        <v>2062.0</v>
      </c>
      <c r="I37" s="7">
        <v>2047.0</v>
      </c>
      <c r="J37" s="7">
        <v>0.0</v>
      </c>
      <c r="K37" s="7">
        <v>5094.0</v>
      </c>
      <c r="L37" s="7">
        <v>0.0</v>
      </c>
      <c r="M37" s="7">
        <v>4589.0</v>
      </c>
      <c r="N37" s="7">
        <v>0.0</v>
      </c>
      <c r="O37" s="7">
        <v>4551.0</v>
      </c>
      <c r="P37" s="7">
        <f t="shared" si="2"/>
        <v>10050</v>
      </c>
      <c r="Q37" s="7">
        <f t="shared" si="3"/>
        <v>2893</v>
      </c>
      <c r="R37" s="8">
        <f t="shared" si="4"/>
        <v>28.78606965</v>
      </c>
      <c r="S37" s="7">
        <f t="shared" si="5"/>
        <v>0</v>
      </c>
      <c r="T37" s="7">
        <f t="shared" si="6"/>
        <v>0</v>
      </c>
      <c r="U37" s="9" t="str">
        <f t="shared" si="7"/>
        <v>#DIV/0!</v>
      </c>
      <c r="V37" s="7">
        <f t="shared" si="8"/>
        <v>5132</v>
      </c>
      <c r="W37" s="7">
        <f t="shared" si="9"/>
        <v>4589</v>
      </c>
      <c r="X37" s="6">
        <f t="shared" si="10"/>
        <v>1.118326433</v>
      </c>
      <c r="Y37" s="7">
        <f t="shared" ref="Y37:Z37" si="47">S37+V37</f>
        <v>5132</v>
      </c>
      <c r="Z37" s="7">
        <f t="shared" si="47"/>
        <v>4589</v>
      </c>
      <c r="AA37" s="6">
        <f t="shared" si="12"/>
        <v>1.118326433</v>
      </c>
      <c r="AB37" s="6">
        <f t="shared" si="13"/>
        <v>38.01481481</v>
      </c>
    </row>
    <row r="38">
      <c r="A38" s="6">
        <v>2024.0</v>
      </c>
      <c r="B38" s="6">
        <v>5.0</v>
      </c>
      <c r="C38" s="6">
        <v>18.0</v>
      </c>
      <c r="D38" s="6">
        <v>1.0</v>
      </c>
      <c r="E38" s="7">
        <v>5113.0</v>
      </c>
      <c r="F38" s="7">
        <v>8163.0</v>
      </c>
      <c r="G38" s="7">
        <v>1147.0</v>
      </c>
      <c r="H38" s="7">
        <v>1115.0</v>
      </c>
      <c r="I38" s="7">
        <v>1115.0</v>
      </c>
      <c r="J38" s="7">
        <v>0.0</v>
      </c>
      <c r="K38" s="7">
        <v>2284.0</v>
      </c>
      <c r="L38" s="7">
        <v>0.0</v>
      </c>
      <c r="M38" s="7">
        <v>2220.0</v>
      </c>
      <c r="N38" s="7">
        <v>0.0</v>
      </c>
      <c r="O38" s="7">
        <v>2220.0</v>
      </c>
      <c r="P38" s="7">
        <f t="shared" si="2"/>
        <v>5113</v>
      </c>
      <c r="Q38" s="7">
        <f t="shared" si="3"/>
        <v>1147</v>
      </c>
      <c r="R38" s="8">
        <f t="shared" si="4"/>
        <v>22.43301389</v>
      </c>
      <c r="S38" s="7">
        <f t="shared" si="5"/>
        <v>0</v>
      </c>
      <c r="T38" s="7">
        <f t="shared" si="6"/>
        <v>0</v>
      </c>
      <c r="U38" s="9" t="str">
        <f t="shared" si="7"/>
        <v>#DIV/0!</v>
      </c>
      <c r="V38" s="7">
        <f t="shared" si="8"/>
        <v>2284</v>
      </c>
      <c r="W38" s="7">
        <f t="shared" si="9"/>
        <v>2220</v>
      </c>
      <c r="X38" s="6">
        <f t="shared" si="10"/>
        <v>1.028828829</v>
      </c>
      <c r="Y38" s="7">
        <f t="shared" ref="Y38:Z38" si="48">S38+V38</f>
        <v>2284</v>
      </c>
      <c r="Z38" s="7">
        <f t="shared" si="48"/>
        <v>2220</v>
      </c>
      <c r="AA38" s="6">
        <f t="shared" si="12"/>
        <v>1.028828829</v>
      </c>
      <c r="AB38" s="6">
        <f t="shared" si="13"/>
        <v>27.97990935</v>
      </c>
    </row>
    <row r="39">
      <c r="A39" s="6">
        <v>2024.0</v>
      </c>
      <c r="B39" s="6">
        <v>5.0</v>
      </c>
      <c r="C39" s="6">
        <v>18.0</v>
      </c>
      <c r="D39" s="6">
        <v>2.0</v>
      </c>
      <c r="E39" s="7">
        <v>11582.0</v>
      </c>
      <c r="F39" s="7">
        <v>21873.0</v>
      </c>
      <c r="G39" s="7">
        <v>1927.0</v>
      </c>
      <c r="H39" s="7">
        <v>1371.0</v>
      </c>
      <c r="I39" s="7">
        <v>1363.0</v>
      </c>
      <c r="J39" s="7">
        <v>1250.0</v>
      </c>
      <c r="K39" s="7">
        <v>3356.0</v>
      </c>
      <c r="L39" s="7">
        <v>192.0</v>
      </c>
      <c r="M39" s="7">
        <v>2549.0</v>
      </c>
      <c r="N39" s="7">
        <v>180.0</v>
      </c>
      <c r="O39" s="7">
        <v>2531.0</v>
      </c>
      <c r="P39" s="7">
        <f t="shared" si="2"/>
        <v>11582</v>
      </c>
      <c r="Q39" s="7">
        <f t="shared" si="3"/>
        <v>1935</v>
      </c>
      <c r="R39" s="8">
        <f t="shared" si="4"/>
        <v>16.70695907</v>
      </c>
      <c r="S39" s="7">
        <f t="shared" si="5"/>
        <v>1262</v>
      </c>
      <c r="T39" s="7">
        <f t="shared" si="6"/>
        <v>192</v>
      </c>
      <c r="U39" s="6">
        <f t="shared" si="7"/>
        <v>6.572916667</v>
      </c>
      <c r="V39" s="7">
        <f t="shared" si="8"/>
        <v>3374</v>
      </c>
      <c r="W39" s="7">
        <f t="shared" si="9"/>
        <v>2549</v>
      </c>
      <c r="X39" s="6">
        <f t="shared" si="10"/>
        <v>1.323656336</v>
      </c>
      <c r="Y39" s="7">
        <f t="shared" ref="Y39:Z39" si="49">S39+V39</f>
        <v>4636</v>
      </c>
      <c r="Z39" s="7">
        <f t="shared" si="49"/>
        <v>2741</v>
      </c>
      <c r="AA39" s="6">
        <f t="shared" si="12"/>
        <v>1.691353521</v>
      </c>
      <c r="AB39" s="6">
        <f t="shared" si="13"/>
        <v>21.19508069</v>
      </c>
    </row>
    <row r="40">
      <c r="A40" s="6">
        <v>2024.0</v>
      </c>
      <c r="B40" s="6">
        <v>5.0</v>
      </c>
      <c r="C40" s="6">
        <v>18.0</v>
      </c>
      <c r="D40" s="6">
        <v>1.0</v>
      </c>
      <c r="E40" s="7">
        <v>6014.0</v>
      </c>
      <c r="F40" s="7">
        <v>7781.0</v>
      </c>
      <c r="G40" s="7">
        <v>2638.0</v>
      </c>
      <c r="H40" s="7">
        <v>2690.0</v>
      </c>
      <c r="I40" s="7">
        <v>2638.0</v>
      </c>
      <c r="J40" s="7">
        <v>0.0</v>
      </c>
      <c r="K40" s="7">
        <v>5301.0</v>
      </c>
      <c r="L40" s="7">
        <v>0.0</v>
      </c>
      <c r="M40" s="7">
        <v>5406.0</v>
      </c>
      <c r="N40" s="7">
        <v>0.0</v>
      </c>
      <c r="O40" s="7">
        <v>5301.0</v>
      </c>
      <c r="P40" s="7">
        <f t="shared" si="2"/>
        <v>6014</v>
      </c>
      <c r="Q40" s="7">
        <f t="shared" si="3"/>
        <v>2690</v>
      </c>
      <c r="R40" s="8">
        <f t="shared" si="4"/>
        <v>44.72896575</v>
      </c>
      <c r="S40" s="7">
        <f t="shared" si="5"/>
        <v>0</v>
      </c>
      <c r="T40" s="7">
        <f t="shared" si="6"/>
        <v>0</v>
      </c>
      <c r="U40" s="9" t="str">
        <f t="shared" si="7"/>
        <v>#DIV/0!</v>
      </c>
      <c r="V40" s="7">
        <f t="shared" si="8"/>
        <v>5406</v>
      </c>
      <c r="W40" s="7">
        <f t="shared" si="9"/>
        <v>5406</v>
      </c>
      <c r="X40" s="6">
        <f t="shared" si="10"/>
        <v>1</v>
      </c>
      <c r="Y40" s="7">
        <f t="shared" ref="Y40:Z40" si="50">S40+V40</f>
        <v>5406</v>
      </c>
      <c r="Z40" s="7">
        <f t="shared" si="50"/>
        <v>5406</v>
      </c>
      <c r="AA40" s="6">
        <f t="shared" si="12"/>
        <v>1</v>
      </c>
      <c r="AB40" s="6">
        <f t="shared" si="13"/>
        <v>69.47693099</v>
      </c>
    </row>
    <row r="41">
      <c r="A41" s="6">
        <v>2024.0</v>
      </c>
      <c r="B41" s="6">
        <v>5.0</v>
      </c>
      <c r="C41" s="6">
        <v>18.0</v>
      </c>
      <c r="D41" s="6">
        <v>2.0</v>
      </c>
      <c r="E41" s="7">
        <v>95758.0</v>
      </c>
      <c r="F41" s="7">
        <v>150953.0</v>
      </c>
      <c r="G41" s="7">
        <v>26152.0</v>
      </c>
      <c r="H41" s="7">
        <v>23936.0</v>
      </c>
      <c r="I41" s="7">
        <v>24107.0</v>
      </c>
      <c r="J41" s="7">
        <v>782.0</v>
      </c>
      <c r="K41" s="7">
        <v>49660.0</v>
      </c>
      <c r="L41" s="7">
        <v>152.0</v>
      </c>
      <c r="M41" s="7">
        <v>46230.0</v>
      </c>
      <c r="N41" s="7">
        <v>142.0</v>
      </c>
      <c r="O41" s="7">
        <v>46286.0</v>
      </c>
      <c r="P41" s="7">
        <f t="shared" si="2"/>
        <v>95758</v>
      </c>
      <c r="Q41" s="7">
        <f t="shared" si="3"/>
        <v>25981</v>
      </c>
      <c r="R41" s="8">
        <f t="shared" si="4"/>
        <v>27.13193676</v>
      </c>
      <c r="S41" s="7">
        <f t="shared" si="5"/>
        <v>792</v>
      </c>
      <c r="T41" s="7">
        <f t="shared" si="6"/>
        <v>152</v>
      </c>
      <c r="U41" s="6">
        <f t="shared" si="7"/>
        <v>5.210526316</v>
      </c>
      <c r="V41" s="7">
        <f t="shared" si="8"/>
        <v>49604</v>
      </c>
      <c r="W41" s="7">
        <f t="shared" si="9"/>
        <v>46230</v>
      </c>
      <c r="X41" s="6">
        <f t="shared" si="10"/>
        <v>1.072982912</v>
      </c>
      <c r="Y41" s="7">
        <f t="shared" ref="Y41:Z41" si="51">S41+V41</f>
        <v>50396</v>
      </c>
      <c r="Z41" s="7">
        <f t="shared" si="51"/>
        <v>46382</v>
      </c>
      <c r="AA41" s="6">
        <f t="shared" si="12"/>
        <v>1.086542193</v>
      </c>
      <c r="AB41" s="6">
        <f t="shared" si="13"/>
        <v>33.38522587</v>
      </c>
    </row>
    <row r="42">
      <c r="A42" s="6">
        <v>2024.0</v>
      </c>
      <c r="B42" s="6">
        <v>5.0</v>
      </c>
      <c r="C42" s="6">
        <v>18.0</v>
      </c>
      <c r="D42" s="6">
        <v>1.0</v>
      </c>
      <c r="E42" s="7">
        <v>48724.0</v>
      </c>
      <c r="F42" s="7">
        <v>73204.0</v>
      </c>
      <c r="G42" s="7">
        <v>21847.0</v>
      </c>
      <c r="H42" s="7">
        <v>19150.0</v>
      </c>
      <c r="I42" s="7">
        <v>18924.0</v>
      </c>
      <c r="J42" s="7">
        <v>58.0</v>
      </c>
      <c r="K42" s="7">
        <v>40539.0</v>
      </c>
      <c r="L42" s="7">
        <v>50.0</v>
      </c>
      <c r="M42" s="7">
        <v>35536.0</v>
      </c>
      <c r="N42" s="7">
        <v>52.0</v>
      </c>
      <c r="O42" s="7">
        <v>35083.0</v>
      </c>
      <c r="P42" s="7">
        <f t="shared" si="2"/>
        <v>48724</v>
      </c>
      <c r="Q42" s="7">
        <f t="shared" si="3"/>
        <v>22073</v>
      </c>
      <c r="R42" s="8">
        <f t="shared" si="4"/>
        <v>45.30210984</v>
      </c>
      <c r="S42" s="7">
        <f t="shared" si="5"/>
        <v>56</v>
      </c>
      <c r="T42" s="7">
        <f t="shared" si="6"/>
        <v>50</v>
      </c>
      <c r="U42" s="6">
        <f t="shared" si="7"/>
        <v>1.12</v>
      </c>
      <c r="V42" s="7">
        <f t="shared" si="8"/>
        <v>40992</v>
      </c>
      <c r="W42" s="7">
        <f t="shared" si="9"/>
        <v>35536</v>
      </c>
      <c r="X42" s="6">
        <f t="shared" si="10"/>
        <v>1.153534444</v>
      </c>
      <c r="Y42" s="7">
        <f t="shared" ref="Y42:Z42" si="52">S42+V42</f>
        <v>41048</v>
      </c>
      <c r="Z42" s="7">
        <f t="shared" si="52"/>
        <v>35586</v>
      </c>
      <c r="AA42" s="6">
        <f t="shared" si="12"/>
        <v>1.153487326</v>
      </c>
      <c r="AB42" s="6">
        <f t="shared" si="13"/>
        <v>56.07343861</v>
      </c>
    </row>
    <row r="43">
      <c r="A43" s="6">
        <v>2024.0</v>
      </c>
      <c r="B43" s="6">
        <v>5.0</v>
      </c>
      <c r="C43" s="6">
        <v>18.0</v>
      </c>
      <c r="D43" s="6">
        <v>2.0</v>
      </c>
      <c r="E43" s="7">
        <v>60353.0</v>
      </c>
      <c r="F43" s="7">
        <v>94740.0</v>
      </c>
      <c r="G43" s="7">
        <v>16670.0</v>
      </c>
      <c r="H43" s="7">
        <v>16312.0</v>
      </c>
      <c r="I43" s="7">
        <v>16370.0</v>
      </c>
      <c r="J43" s="7">
        <v>5.0</v>
      </c>
      <c r="K43" s="7">
        <v>33641.0</v>
      </c>
      <c r="L43" s="7">
        <v>5.0</v>
      </c>
      <c r="M43" s="7">
        <v>31280.0</v>
      </c>
      <c r="N43" s="7">
        <v>5.0</v>
      </c>
      <c r="O43" s="7">
        <v>31297.0</v>
      </c>
      <c r="P43" s="7">
        <f t="shared" si="2"/>
        <v>60353</v>
      </c>
      <c r="Q43" s="7">
        <f t="shared" si="3"/>
        <v>16612</v>
      </c>
      <c r="R43" s="8">
        <f t="shared" si="4"/>
        <v>27.52472951</v>
      </c>
      <c r="S43" s="7">
        <f t="shared" si="5"/>
        <v>5</v>
      </c>
      <c r="T43" s="7">
        <f t="shared" si="6"/>
        <v>5</v>
      </c>
      <c r="U43" s="6">
        <f t="shared" si="7"/>
        <v>1</v>
      </c>
      <c r="V43" s="7">
        <f t="shared" si="8"/>
        <v>33624</v>
      </c>
      <c r="W43" s="7">
        <f t="shared" si="9"/>
        <v>31280</v>
      </c>
      <c r="X43" s="6">
        <f t="shared" si="10"/>
        <v>1.074936061</v>
      </c>
      <c r="Y43" s="7">
        <f t="shared" ref="Y43:Z43" si="53">S43+V43</f>
        <v>33629</v>
      </c>
      <c r="Z43" s="7">
        <f t="shared" si="53"/>
        <v>31285</v>
      </c>
      <c r="AA43" s="6">
        <f t="shared" si="12"/>
        <v>1.074924085</v>
      </c>
      <c r="AB43" s="6">
        <f t="shared" si="13"/>
        <v>35.49609457</v>
      </c>
    </row>
    <row r="44">
      <c r="A44" s="6">
        <v>2024.0</v>
      </c>
      <c r="B44" s="6">
        <v>5.0</v>
      </c>
      <c r="C44" s="6">
        <v>18.0</v>
      </c>
      <c r="D44" s="6">
        <v>1.0</v>
      </c>
      <c r="E44" s="7">
        <v>47182.0</v>
      </c>
      <c r="F44" s="7">
        <v>73439.0</v>
      </c>
      <c r="G44" s="7">
        <v>22994.0</v>
      </c>
      <c r="H44" s="7">
        <v>17004.0</v>
      </c>
      <c r="I44" s="7">
        <v>16957.0</v>
      </c>
      <c r="J44" s="7">
        <v>615.0</v>
      </c>
      <c r="K44" s="7">
        <v>44069.0</v>
      </c>
      <c r="L44" s="7">
        <v>415.0</v>
      </c>
      <c r="M44" s="7">
        <v>32504.0</v>
      </c>
      <c r="N44" s="7">
        <v>435.0</v>
      </c>
      <c r="O44" s="7">
        <v>32217.0</v>
      </c>
      <c r="P44" s="7">
        <f t="shared" si="2"/>
        <v>47182</v>
      </c>
      <c r="Q44" s="7">
        <f t="shared" si="3"/>
        <v>23041</v>
      </c>
      <c r="R44" s="8">
        <f t="shared" si="4"/>
        <v>48.83430122</v>
      </c>
      <c r="S44" s="7">
        <f t="shared" si="5"/>
        <v>595</v>
      </c>
      <c r="T44" s="7">
        <f t="shared" si="6"/>
        <v>415</v>
      </c>
      <c r="U44" s="6">
        <f t="shared" si="7"/>
        <v>1.43373494</v>
      </c>
      <c r="V44" s="7">
        <f t="shared" si="8"/>
        <v>44356</v>
      </c>
      <c r="W44" s="7">
        <f t="shared" si="9"/>
        <v>32504</v>
      </c>
      <c r="X44" s="6">
        <f t="shared" si="10"/>
        <v>1.364632045</v>
      </c>
      <c r="Y44" s="7">
        <f t="shared" ref="Y44:Z44" si="54">S44+V44</f>
        <v>44951</v>
      </c>
      <c r="Z44" s="7">
        <f t="shared" si="54"/>
        <v>32919</v>
      </c>
      <c r="AA44" s="6">
        <f t="shared" si="12"/>
        <v>1.365503205</v>
      </c>
      <c r="AB44" s="6">
        <f t="shared" si="13"/>
        <v>61.20862212</v>
      </c>
    </row>
    <row r="45">
      <c r="A45" s="6">
        <v>2024.0</v>
      </c>
      <c r="B45" s="6">
        <v>5.0</v>
      </c>
      <c r="C45" s="6">
        <v>18.0</v>
      </c>
      <c r="D45" s="6">
        <v>2.0</v>
      </c>
      <c r="E45" s="7">
        <v>36202.0</v>
      </c>
      <c r="F45" s="7">
        <v>54654.0</v>
      </c>
      <c r="G45" s="7">
        <v>11031.0</v>
      </c>
      <c r="H45" s="7">
        <v>9830.0</v>
      </c>
      <c r="I45" s="7">
        <v>9759.0</v>
      </c>
      <c r="J45" s="7">
        <v>0.0</v>
      </c>
      <c r="K45" s="7">
        <v>21354.0</v>
      </c>
      <c r="L45" s="7">
        <v>0.0</v>
      </c>
      <c r="M45" s="7">
        <v>19147.0</v>
      </c>
      <c r="N45" s="7">
        <v>0.0</v>
      </c>
      <c r="O45" s="7">
        <v>18989.0</v>
      </c>
      <c r="P45" s="7">
        <f t="shared" si="2"/>
        <v>36202</v>
      </c>
      <c r="Q45" s="7">
        <f t="shared" si="3"/>
        <v>11102</v>
      </c>
      <c r="R45" s="8">
        <f t="shared" si="4"/>
        <v>30.66681399</v>
      </c>
      <c r="S45" s="7">
        <f t="shared" si="5"/>
        <v>0</v>
      </c>
      <c r="T45" s="7">
        <f t="shared" si="6"/>
        <v>0</v>
      </c>
      <c r="U45" s="9" t="str">
        <f t="shared" si="7"/>
        <v>#DIV/0!</v>
      </c>
      <c r="V45" s="7">
        <f t="shared" si="8"/>
        <v>21512</v>
      </c>
      <c r="W45" s="7">
        <f t="shared" si="9"/>
        <v>19147</v>
      </c>
      <c r="X45" s="6">
        <f t="shared" si="10"/>
        <v>1.123518045</v>
      </c>
      <c r="Y45" s="7">
        <f t="shared" ref="Y45:Z45" si="55">S45+V45</f>
        <v>21512</v>
      </c>
      <c r="Z45" s="7">
        <f t="shared" si="55"/>
        <v>19147</v>
      </c>
      <c r="AA45" s="6">
        <f t="shared" si="12"/>
        <v>1.123518045</v>
      </c>
      <c r="AB45" s="6">
        <f t="shared" si="13"/>
        <v>39.36033959</v>
      </c>
    </row>
    <row r="46">
      <c r="A46" s="6">
        <v>2024.0</v>
      </c>
      <c r="B46" s="6">
        <v>5.0</v>
      </c>
      <c r="C46" s="6">
        <v>18.0</v>
      </c>
      <c r="D46" s="6">
        <v>1.0</v>
      </c>
      <c r="E46" s="7">
        <v>10385.0</v>
      </c>
      <c r="F46" s="7">
        <v>13950.0</v>
      </c>
      <c r="G46" s="7">
        <v>4307.0</v>
      </c>
      <c r="H46" s="7">
        <v>2849.0</v>
      </c>
      <c r="I46" s="7">
        <v>2868.0</v>
      </c>
      <c r="J46" s="7">
        <v>0.0</v>
      </c>
      <c r="K46" s="7">
        <v>5514.0</v>
      </c>
      <c r="L46" s="7">
        <v>0.0</v>
      </c>
      <c r="M46" s="7">
        <v>5202.0</v>
      </c>
      <c r="N46" s="7">
        <v>0.0</v>
      </c>
      <c r="O46" s="7">
        <v>5049.0</v>
      </c>
      <c r="P46" s="7">
        <f t="shared" si="2"/>
        <v>10385</v>
      </c>
      <c r="Q46" s="7">
        <f t="shared" si="3"/>
        <v>4288</v>
      </c>
      <c r="R46" s="8">
        <f t="shared" si="4"/>
        <v>41.29032258</v>
      </c>
      <c r="S46" s="7">
        <f t="shared" si="5"/>
        <v>0</v>
      </c>
      <c r="T46" s="7">
        <f t="shared" si="6"/>
        <v>0</v>
      </c>
      <c r="U46" s="9" t="str">
        <f t="shared" si="7"/>
        <v>#DIV/0!</v>
      </c>
      <c r="V46" s="7">
        <f t="shared" si="8"/>
        <v>5667</v>
      </c>
      <c r="W46" s="7">
        <f t="shared" si="9"/>
        <v>5202</v>
      </c>
      <c r="X46" s="6">
        <f t="shared" si="10"/>
        <v>1.089388697</v>
      </c>
      <c r="Y46" s="7">
        <f t="shared" ref="Y46:Z46" si="56">S46+V46</f>
        <v>5667</v>
      </c>
      <c r="Z46" s="7">
        <f t="shared" si="56"/>
        <v>5202</v>
      </c>
      <c r="AA46" s="6">
        <f t="shared" si="12"/>
        <v>1.089388697</v>
      </c>
      <c r="AB46" s="6">
        <f t="shared" si="13"/>
        <v>40.62365591</v>
      </c>
    </row>
    <row r="47">
      <c r="A47" s="6">
        <v>2024.0</v>
      </c>
      <c r="B47" s="6">
        <v>6.0</v>
      </c>
      <c r="C47" s="6">
        <v>18.0</v>
      </c>
      <c r="D47" s="6">
        <v>1.0</v>
      </c>
      <c r="E47" s="7">
        <v>4947.0</v>
      </c>
      <c r="F47" s="7">
        <v>7900.0</v>
      </c>
      <c r="G47" s="7">
        <v>1648.0</v>
      </c>
      <c r="H47" s="7">
        <v>1531.0</v>
      </c>
      <c r="I47" s="7">
        <v>1521.0</v>
      </c>
      <c r="J47" s="7">
        <v>0.0</v>
      </c>
      <c r="K47" s="7">
        <v>3318.0</v>
      </c>
      <c r="L47" s="7">
        <v>0.0</v>
      </c>
      <c r="M47" s="7">
        <v>3079.0</v>
      </c>
      <c r="N47" s="7">
        <v>0.0</v>
      </c>
      <c r="O47" s="7">
        <v>3058.0</v>
      </c>
      <c r="P47" s="7">
        <f t="shared" si="2"/>
        <v>4947</v>
      </c>
      <c r="Q47" s="7">
        <f t="shared" si="3"/>
        <v>1658</v>
      </c>
      <c r="R47" s="8">
        <f t="shared" si="4"/>
        <v>33.51526177</v>
      </c>
      <c r="S47" s="7">
        <f t="shared" si="5"/>
        <v>0</v>
      </c>
      <c r="T47" s="7">
        <f t="shared" si="6"/>
        <v>0</v>
      </c>
      <c r="U47" s="9" t="str">
        <f t="shared" si="7"/>
        <v>#DIV/0!</v>
      </c>
      <c r="V47" s="7">
        <f t="shared" si="8"/>
        <v>3339</v>
      </c>
      <c r="W47" s="7">
        <f t="shared" si="9"/>
        <v>3079</v>
      </c>
      <c r="X47" s="6">
        <f t="shared" si="10"/>
        <v>1.084443001</v>
      </c>
      <c r="Y47" s="7">
        <f t="shared" ref="Y47:Z47" si="57">S47+V47</f>
        <v>3339</v>
      </c>
      <c r="Z47" s="7">
        <f t="shared" si="57"/>
        <v>3079</v>
      </c>
      <c r="AA47" s="6">
        <f t="shared" si="12"/>
        <v>1.084443001</v>
      </c>
      <c r="AB47" s="6">
        <f t="shared" si="13"/>
        <v>42.26582278</v>
      </c>
    </row>
    <row r="48">
      <c r="A48" s="6">
        <v>2024.0</v>
      </c>
      <c r="B48" s="6">
        <v>6.0</v>
      </c>
      <c r="C48" s="6">
        <v>18.0</v>
      </c>
      <c r="D48" s="6">
        <v>2.0</v>
      </c>
      <c r="E48" s="7">
        <v>11535.0</v>
      </c>
      <c r="F48" s="7">
        <v>21855.0</v>
      </c>
      <c r="G48" s="7">
        <v>1988.0</v>
      </c>
      <c r="H48" s="7">
        <v>1526.0</v>
      </c>
      <c r="I48" s="7">
        <v>1512.0</v>
      </c>
      <c r="J48" s="7">
        <v>822.0</v>
      </c>
      <c r="K48" s="7">
        <v>2986.0</v>
      </c>
      <c r="L48" s="7">
        <v>144.0</v>
      </c>
      <c r="M48" s="7">
        <v>2878.0</v>
      </c>
      <c r="N48" s="7">
        <v>144.0</v>
      </c>
      <c r="O48" s="7">
        <v>2865.0</v>
      </c>
      <c r="P48" s="7">
        <f t="shared" si="2"/>
        <v>11535</v>
      </c>
      <c r="Q48" s="7">
        <f t="shared" si="3"/>
        <v>2002</v>
      </c>
      <c r="R48" s="8">
        <f t="shared" si="4"/>
        <v>17.35587343</v>
      </c>
      <c r="S48" s="7">
        <f t="shared" si="5"/>
        <v>822</v>
      </c>
      <c r="T48" s="7">
        <f t="shared" si="6"/>
        <v>144</v>
      </c>
      <c r="U48" s="6">
        <f t="shared" si="7"/>
        <v>5.708333333</v>
      </c>
      <c r="V48" s="7">
        <f t="shared" si="8"/>
        <v>2999</v>
      </c>
      <c r="W48" s="7">
        <f t="shared" si="9"/>
        <v>2878</v>
      </c>
      <c r="X48" s="6">
        <f t="shared" si="10"/>
        <v>1.042043085</v>
      </c>
      <c r="Y48" s="7">
        <f t="shared" ref="Y48:Z48" si="58">S48+V48</f>
        <v>3821</v>
      </c>
      <c r="Z48" s="7">
        <f t="shared" si="58"/>
        <v>3022</v>
      </c>
      <c r="AA48" s="6">
        <f t="shared" si="12"/>
        <v>1.264394441</v>
      </c>
      <c r="AB48" s="6">
        <f t="shared" si="13"/>
        <v>17.48341341</v>
      </c>
    </row>
    <row r="49">
      <c r="A49" s="6">
        <v>2024.0</v>
      </c>
      <c r="B49" s="6">
        <v>6.0</v>
      </c>
      <c r="C49" s="6">
        <v>18.0</v>
      </c>
      <c r="D49" s="6">
        <v>1.0</v>
      </c>
      <c r="E49" s="7">
        <v>5820.0</v>
      </c>
      <c r="F49" s="7">
        <v>7530.0</v>
      </c>
      <c r="G49" s="7">
        <v>3173.0</v>
      </c>
      <c r="H49" s="7">
        <v>3161.0</v>
      </c>
      <c r="I49" s="7">
        <v>3173.0</v>
      </c>
      <c r="J49" s="7">
        <v>0.0</v>
      </c>
      <c r="K49" s="7">
        <v>6419.0</v>
      </c>
      <c r="L49" s="7">
        <v>0.0</v>
      </c>
      <c r="M49" s="7">
        <v>6398.0</v>
      </c>
      <c r="N49" s="7">
        <v>0.0</v>
      </c>
      <c r="O49" s="7">
        <v>6419.0</v>
      </c>
      <c r="P49" s="7">
        <f t="shared" si="2"/>
        <v>5820</v>
      </c>
      <c r="Q49" s="7">
        <f t="shared" si="3"/>
        <v>3161</v>
      </c>
      <c r="R49" s="8">
        <f t="shared" si="4"/>
        <v>54.31271478</v>
      </c>
      <c r="S49" s="7">
        <f t="shared" si="5"/>
        <v>0</v>
      </c>
      <c r="T49" s="7">
        <f t="shared" si="6"/>
        <v>0</v>
      </c>
      <c r="U49" s="9" t="str">
        <f t="shared" si="7"/>
        <v>#DIV/0!</v>
      </c>
      <c r="V49" s="7">
        <f t="shared" si="8"/>
        <v>6398</v>
      </c>
      <c r="W49" s="7">
        <f t="shared" si="9"/>
        <v>6398</v>
      </c>
      <c r="X49" s="6">
        <f t="shared" si="10"/>
        <v>1</v>
      </c>
      <c r="Y49" s="7">
        <f t="shared" ref="Y49:Z49" si="59">S49+V49</f>
        <v>6398</v>
      </c>
      <c r="Z49" s="7">
        <f t="shared" si="59"/>
        <v>6398</v>
      </c>
      <c r="AA49" s="6">
        <f t="shared" si="12"/>
        <v>1</v>
      </c>
      <c r="AB49" s="6">
        <f t="shared" si="13"/>
        <v>84.96679947</v>
      </c>
    </row>
    <row r="50">
      <c r="A50" s="6">
        <v>2024.0</v>
      </c>
      <c r="B50" s="6">
        <v>6.0</v>
      </c>
      <c r="C50" s="6">
        <v>18.0</v>
      </c>
      <c r="D50" s="6">
        <v>2.0</v>
      </c>
      <c r="E50" s="7">
        <v>92067.0</v>
      </c>
      <c r="F50" s="7">
        <v>145146.0</v>
      </c>
      <c r="G50" s="7">
        <v>25319.0</v>
      </c>
      <c r="H50" s="7">
        <v>24427.0</v>
      </c>
      <c r="I50" s="7">
        <v>24347.0</v>
      </c>
      <c r="J50" s="7">
        <v>631.0</v>
      </c>
      <c r="K50" s="7">
        <v>49305.0</v>
      </c>
      <c r="L50" s="7">
        <v>111.0</v>
      </c>
      <c r="M50" s="7">
        <v>47431.0</v>
      </c>
      <c r="N50" s="7">
        <v>111.0</v>
      </c>
      <c r="O50" s="7">
        <v>47224.0</v>
      </c>
      <c r="P50" s="7">
        <f t="shared" si="2"/>
        <v>92067</v>
      </c>
      <c r="Q50" s="7">
        <f t="shared" si="3"/>
        <v>25399</v>
      </c>
      <c r="R50" s="8">
        <f t="shared" si="4"/>
        <v>27.58751779</v>
      </c>
      <c r="S50" s="7">
        <f t="shared" si="5"/>
        <v>631</v>
      </c>
      <c r="T50" s="7">
        <f t="shared" si="6"/>
        <v>111</v>
      </c>
      <c r="U50" s="6">
        <f t="shared" si="7"/>
        <v>5.684684685</v>
      </c>
      <c r="V50" s="7">
        <f t="shared" si="8"/>
        <v>49512</v>
      </c>
      <c r="W50" s="7">
        <f t="shared" si="9"/>
        <v>47431</v>
      </c>
      <c r="X50" s="6">
        <f t="shared" si="10"/>
        <v>1.043874259</v>
      </c>
      <c r="Y50" s="7">
        <f t="shared" ref="Y50:Z50" si="60">S50+V50</f>
        <v>50143</v>
      </c>
      <c r="Z50" s="7">
        <f t="shared" si="60"/>
        <v>47542</v>
      </c>
      <c r="AA50" s="6">
        <f t="shared" si="12"/>
        <v>1.05470952</v>
      </c>
      <c r="AB50" s="6">
        <f t="shared" si="13"/>
        <v>34.54659446</v>
      </c>
    </row>
    <row r="51">
      <c r="A51" s="6">
        <v>2024.0</v>
      </c>
      <c r="B51" s="6">
        <v>6.0</v>
      </c>
      <c r="C51" s="6">
        <v>18.0</v>
      </c>
      <c r="D51" s="6">
        <v>1.0</v>
      </c>
      <c r="E51" s="7">
        <v>47153.0</v>
      </c>
      <c r="F51" s="7">
        <v>70844.0</v>
      </c>
      <c r="G51" s="7">
        <v>23825.0</v>
      </c>
      <c r="H51" s="7">
        <v>20235.0</v>
      </c>
      <c r="I51" s="7">
        <v>20280.0</v>
      </c>
      <c r="J51" s="7">
        <v>136.0</v>
      </c>
      <c r="K51" s="7">
        <v>45365.0</v>
      </c>
      <c r="L51" s="7">
        <v>79.0</v>
      </c>
      <c r="M51" s="7">
        <v>38574.0</v>
      </c>
      <c r="N51" s="7">
        <v>85.0</v>
      </c>
      <c r="O51" s="7">
        <v>38614.0</v>
      </c>
      <c r="P51" s="7">
        <f t="shared" si="2"/>
        <v>47153</v>
      </c>
      <c r="Q51" s="7">
        <f t="shared" si="3"/>
        <v>23780</v>
      </c>
      <c r="R51" s="8">
        <f t="shared" si="4"/>
        <v>50.43157381</v>
      </c>
      <c r="S51" s="7">
        <f t="shared" si="5"/>
        <v>130</v>
      </c>
      <c r="T51" s="7">
        <f t="shared" si="6"/>
        <v>79</v>
      </c>
      <c r="U51" s="6">
        <f t="shared" si="7"/>
        <v>1.64556962</v>
      </c>
      <c r="V51" s="7">
        <f t="shared" si="8"/>
        <v>45325</v>
      </c>
      <c r="W51" s="7">
        <f t="shared" si="9"/>
        <v>38574</v>
      </c>
      <c r="X51" s="6">
        <f t="shared" si="10"/>
        <v>1.175014258</v>
      </c>
      <c r="Y51" s="7">
        <f t="shared" ref="Y51:Z51" si="61">S51+V51</f>
        <v>45455</v>
      </c>
      <c r="Z51" s="7">
        <f t="shared" si="61"/>
        <v>38653</v>
      </c>
      <c r="AA51" s="6">
        <f t="shared" si="12"/>
        <v>1.175975992</v>
      </c>
      <c r="AB51" s="6">
        <f t="shared" si="13"/>
        <v>64.16210265</v>
      </c>
    </row>
    <row r="52">
      <c r="A52" s="6">
        <v>2024.0</v>
      </c>
      <c r="B52" s="6">
        <v>6.0</v>
      </c>
      <c r="C52" s="6">
        <v>18.0</v>
      </c>
      <c r="D52" s="6">
        <v>2.0</v>
      </c>
      <c r="E52" s="7">
        <v>57326.0</v>
      </c>
      <c r="F52" s="7">
        <v>88946.0</v>
      </c>
      <c r="G52" s="7">
        <v>15834.0</v>
      </c>
      <c r="H52" s="7">
        <v>15110.0</v>
      </c>
      <c r="I52" s="7">
        <v>15133.0</v>
      </c>
      <c r="J52" s="7">
        <v>0.0</v>
      </c>
      <c r="K52" s="7">
        <v>33243.0</v>
      </c>
      <c r="L52" s="7">
        <v>8.0</v>
      </c>
      <c r="M52" s="7">
        <v>31348.0</v>
      </c>
      <c r="N52" s="7">
        <v>0.0</v>
      </c>
      <c r="O52" s="7">
        <v>31234.0</v>
      </c>
      <c r="P52" s="7">
        <f t="shared" si="2"/>
        <v>57326</v>
      </c>
      <c r="Q52" s="7">
        <f t="shared" si="3"/>
        <v>15811</v>
      </c>
      <c r="R52" s="8">
        <f t="shared" si="4"/>
        <v>27.58085336</v>
      </c>
      <c r="S52" s="7">
        <f t="shared" si="5"/>
        <v>8</v>
      </c>
      <c r="T52" s="7">
        <f t="shared" si="6"/>
        <v>8</v>
      </c>
      <c r="U52" s="6">
        <f t="shared" si="7"/>
        <v>1</v>
      </c>
      <c r="V52" s="7">
        <f t="shared" si="8"/>
        <v>33357</v>
      </c>
      <c r="W52" s="7">
        <f t="shared" si="9"/>
        <v>31348</v>
      </c>
      <c r="X52" s="6">
        <f t="shared" si="10"/>
        <v>1.064087023</v>
      </c>
      <c r="Y52" s="7">
        <f t="shared" ref="Y52:Z52" si="62">S52+V52</f>
        <v>33365</v>
      </c>
      <c r="Z52" s="7">
        <f t="shared" si="62"/>
        <v>31356</v>
      </c>
      <c r="AA52" s="6">
        <f t="shared" si="12"/>
        <v>1.064070672</v>
      </c>
      <c r="AB52" s="6">
        <f t="shared" si="13"/>
        <v>37.51152385</v>
      </c>
    </row>
    <row r="53">
      <c r="A53" s="6">
        <v>2024.0</v>
      </c>
      <c r="B53" s="6">
        <v>6.0</v>
      </c>
      <c r="C53" s="6">
        <v>18.0</v>
      </c>
      <c r="D53" s="6">
        <v>1.0</v>
      </c>
      <c r="E53" s="7">
        <v>45660.0</v>
      </c>
      <c r="F53" s="7">
        <v>71070.0</v>
      </c>
      <c r="G53" s="7">
        <v>22867.0</v>
      </c>
      <c r="H53" s="7">
        <v>17380.0</v>
      </c>
      <c r="I53" s="7">
        <v>17501.0</v>
      </c>
      <c r="J53" s="7">
        <v>727.0</v>
      </c>
      <c r="K53" s="7">
        <v>42778.0</v>
      </c>
      <c r="L53" s="7">
        <v>393.0</v>
      </c>
      <c r="M53" s="7">
        <v>33083.0</v>
      </c>
      <c r="N53" s="7">
        <v>381.0</v>
      </c>
      <c r="O53" s="7">
        <v>33376.0</v>
      </c>
      <c r="P53" s="7">
        <f t="shared" si="2"/>
        <v>45660</v>
      </c>
      <c r="Q53" s="7">
        <f t="shared" si="3"/>
        <v>22746</v>
      </c>
      <c r="R53" s="8">
        <f t="shared" si="4"/>
        <v>49.81603154</v>
      </c>
      <c r="S53" s="7">
        <f t="shared" si="5"/>
        <v>739</v>
      </c>
      <c r="T53" s="7">
        <f t="shared" si="6"/>
        <v>393</v>
      </c>
      <c r="U53" s="6">
        <f t="shared" si="7"/>
        <v>1.880407125</v>
      </c>
      <c r="V53" s="7">
        <f t="shared" si="8"/>
        <v>42485</v>
      </c>
      <c r="W53" s="7">
        <f t="shared" si="9"/>
        <v>33083</v>
      </c>
      <c r="X53" s="6">
        <f t="shared" si="10"/>
        <v>1.284194299</v>
      </c>
      <c r="Y53" s="7">
        <f t="shared" ref="Y53:Z53" si="63">S53+V53</f>
        <v>43224</v>
      </c>
      <c r="Z53" s="7">
        <f t="shared" si="63"/>
        <v>33476</v>
      </c>
      <c r="AA53" s="6">
        <f t="shared" si="12"/>
        <v>1.291193691</v>
      </c>
      <c r="AB53" s="6">
        <f t="shared" si="13"/>
        <v>60.81891093</v>
      </c>
    </row>
    <row r="54">
      <c r="A54" s="6">
        <v>2024.0</v>
      </c>
      <c r="B54" s="6">
        <v>6.0</v>
      </c>
      <c r="C54" s="6">
        <v>18.0</v>
      </c>
      <c r="D54" s="6">
        <v>2.0</v>
      </c>
      <c r="E54" s="7">
        <v>36399.0</v>
      </c>
      <c r="F54" s="7">
        <v>56655.0</v>
      </c>
      <c r="G54" s="7">
        <v>13049.0</v>
      </c>
      <c r="H54" s="7">
        <v>11601.0</v>
      </c>
      <c r="I54" s="7">
        <v>11612.0</v>
      </c>
      <c r="J54" s="7">
        <v>1.0</v>
      </c>
      <c r="K54" s="7">
        <v>23919.0</v>
      </c>
      <c r="L54" s="7">
        <v>1.0</v>
      </c>
      <c r="M54" s="7">
        <v>21136.0</v>
      </c>
      <c r="N54" s="7">
        <v>1.0</v>
      </c>
      <c r="O54" s="7">
        <v>21174.0</v>
      </c>
      <c r="P54" s="7">
        <f t="shared" si="2"/>
        <v>36399</v>
      </c>
      <c r="Q54" s="7">
        <f t="shared" si="3"/>
        <v>13038</v>
      </c>
      <c r="R54" s="8">
        <f t="shared" si="4"/>
        <v>35.81966538</v>
      </c>
      <c r="S54" s="7">
        <f t="shared" si="5"/>
        <v>1</v>
      </c>
      <c r="T54" s="7">
        <f t="shared" si="6"/>
        <v>1</v>
      </c>
      <c r="U54" s="6">
        <f t="shared" si="7"/>
        <v>1</v>
      </c>
      <c r="V54" s="7">
        <f t="shared" si="8"/>
        <v>23881</v>
      </c>
      <c r="W54" s="7">
        <f t="shared" si="9"/>
        <v>21136</v>
      </c>
      <c r="X54" s="6">
        <f t="shared" si="10"/>
        <v>1.129873202</v>
      </c>
      <c r="Y54" s="7">
        <f t="shared" ref="Y54:Z54" si="64">S54+V54</f>
        <v>23882</v>
      </c>
      <c r="Z54" s="7">
        <f t="shared" si="64"/>
        <v>21137</v>
      </c>
      <c r="AA54" s="6">
        <f t="shared" si="12"/>
        <v>1.129867058</v>
      </c>
      <c r="AB54" s="6">
        <f t="shared" si="13"/>
        <v>42.15338452</v>
      </c>
    </row>
    <row r="55">
      <c r="A55" s="6">
        <v>2024.0</v>
      </c>
      <c r="B55" s="6">
        <v>6.0</v>
      </c>
      <c r="C55" s="6">
        <v>18.0</v>
      </c>
      <c r="D55" s="6">
        <v>1.0</v>
      </c>
      <c r="E55" s="7">
        <v>10050.0</v>
      </c>
      <c r="F55" s="7">
        <v>13500.0</v>
      </c>
      <c r="G55" s="7">
        <v>5728.0</v>
      </c>
      <c r="H55" s="7">
        <v>4058.0</v>
      </c>
      <c r="I55" s="7">
        <v>4099.0</v>
      </c>
      <c r="J55" s="7">
        <v>0.0</v>
      </c>
      <c r="K55" s="7">
        <v>9268.0</v>
      </c>
      <c r="L55" s="7">
        <v>0.0</v>
      </c>
      <c r="M55" s="7">
        <v>7516.0</v>
      </c>
      <c r="N55" s="7">
        <v>0.0</v>
      </c>
      <c r="O55" s="7">
        <v>7461.0</v>
      </c>
      <c r="P55" s="7">
        <f t="shared" si="2"/>
        <v>10050</v>
      </c>
      <c r="Q55" s="7">
        <f t="shared" si="3"/>
        <v>5687</v>
      </c>
      <c r="R55" s="8">
        <f t="shared" si="4"/>
        <v>56.58706468</v>
      </c>
      <c r="S55" s="7">
        <f t="shared" si="5"/>
        <v>0</v>
      </c>
      <c r="T55" s="7">
        <f t="shared" si="6"/>
        <v>0</v>
      </c>
      <c r="U55" s="9" t="str">
        <f t="shared" si="7"/>
        <v>#DIV/0!</v>
      </c>
      <c r="V55" s="7">
        <f t="shared" si="8"/>
        <v>9323</v>
      </c>
      <c r="W55" s="7">
        <f t="shared" si="9"/>
        <v>7516</v>
      </c>
      <c r="X55" s="6">
        <f t="shared" si="10"/>
        <v>1.240420436</v>
      </c>
      <c r="Y55" s="7">
        <f t="shared" ref="Y55:Z55" si="65">S55+V55</f>
        <v>9323</v>
      </c>
      <c r="Z55" s="7">
        <f t="shared" si="65"/>
        <v>7516</v>
      </c>
      <c r="AA55" s="6">
        <f t="shared" si="12"/>
        <v>1.240420436</v>
      </c>
      <c r="AB55" s="6">
        <f t="shared" si="13"/>
        <v>69.05925926</v>
      </c>
    </row>
    <row r="56">
      <c r="A56" s="6">
        <v>2024.0</v>
      </c>
      <c r="B56" s="6">
        <v>7.0</v>
      </c>
      <c r="C56" s="6">
        <v>18.0</v>
      </c>
      <c r="D56" s="6">
        <v>1.0</v>
      </c>
      <c r="E56" s="7">
        <v>5195.0</v>
      </c>
      <c r="F56" s="7">
        <v>8328.0</v>
      </c>
      <c r="G56" s="7">
        <v>1451.0</v>
      </c>
      <c r="H56" s="7">
        <v>1387.0</v>
      </c>
      <c r="I56" s="7">
        <v>1387.0</v>
      </c>
      <c r="J56" s="7">
        <v>0.0</v>
      </c>
      <c r="K56" s="7">
        <v>2910.0</v>
      </c>
      <c r="L56" s="7">
        <v>0.0</v>
      </c>
      <c r="M56" s="7">
        <v>2780.0</v>
      </c>
      <c r="N56" s="7">
        <v>0.0</v>
      </c>
      <c r="O56" s="7">
        <v>2781.0</v>
      </c>
      <c r="P56" s="7">
        <f t="shared" si="2"/>
        <v>5195</v>
      </c>
      <c r="Q56" s="7">
        <f t="shared" si="3"/>
        <v>1451</v>
      </c>
      <c r="R56" s="8">
        <f t="shared" si="4"/>
        <v>27.9307026</v>
      </c>
      <c r="S56" s="7">
        <f t="shared" si="5"/>
        <v>0</v>
      </c>
      <c r="T56" s="7">
        <f t="shared" si="6"/>
        <v>0</v>
      </c>
      <c r="U56" s="9" t="str">
        <f t="shared" si="7"/>
        <v>#DIV/0!</v>
      </c>
      <c r="V56" s="7">
        <f t="shared" si="8"/>
        <v>2909</v>
      </c>
      <c r="W56" s="7">
        <f t="shared" si="9"/>
        <v>2780</v>
      </c>
      <c r="X56" s="6">
        <f t="shared" si="10"/>
        <v>1.046402878</v>
      </c>
      <c r="Y56" s="7">
        <f t="shared" ref="Y56:Z56" si="66">S56+V56</f>
        <v>2909</v>
      </c>
      <c r="Z56" s="7">
        <f t="shared" si="66"/>
        <v>2780</v>
      </c>
      <c r="AA56" s="6">
        <f t="shared" si="12"/>
        <v>1.046402878</v>
      </c>
      <c r="AB56" s="6">
        <f t="shared" si="13"/>
        <v>34.93035543</v>
      </c>
    </row>
    <row r="57">
      <c r="A57" s="6">
        <v>2024.0</v>
      </c>
      <c r="B57" s="6">
        <v>7.0</v>
      </c>
      <c r="C57" s="6">
        <v>18.0</v>
      </c>
      <c r="D57" s="6">
        <v>2.0</v>
      </c>
      <c r="E57" s="7">
        <v>10249.0</v>
      </c>
      <c r="F57" s="7">
        <v>17564.0</v>
      </c>
      <c r="G57" s="7">
        <v>1708.0</v>
      </c>
      <c r="H57" s="7">
        <v>1238.0</v>
      </c>
      <c r="I57" s="7">
        <v>1252.0</v>
      </c>
      <c r="J57" s="7">
        <v>1108.0</v>
      </c>
      <c r="K57" s="7">
        <v>2772.0</v>
      </c>
      <c r="L57" s="7">
        <v>238.0</v>
      </c>
      <c r="M57" s="7">
        <v>2233.0</v>
      </c>
      <c r="N57" s="7">
        <v>238.0</v>
      </c>
      <c r="O57" s="7">
        <v>2242.0</v>
      </c>
      <c r="P57" s="7">
        <f t="shared" si="2"/>
        <v>10249</v>
      </c>
      <c r="Q57" s="7">
        <f t="shared" si="3"/>
        <v>1694</v>
      </c>
      <c r="R57" s="8">
        <f t="shared" si="4"/>
        <v>16.5284418</v>
      </c>
      <c r="S57" s="7">
        <f t="shared" si="5"/>
        <v>1108</v>
      </c>
      <c r="T57" s="7">
        <f t="shared" si="6"/>
        <v>238</v>
      </c>
      <c r="U57" s="6">
        <f t="shared" si="7"/>
        <v>4.655462185</v>
      </c>
      <c r="V57" s="7">
        <f t="shared" si="8"/>
        <v>2763</v>
      </c>
      <c r="W57" s="7">
        <f t="shared" si="9"/>
        <v>2233</v>
      </c>
      <c r="X57" s="6">
        <f t="shared" si="10"/>
        <v>1.237348858</v>
      </c>
      <c r="Y57" s="7">
        <f t="shared" ref="Y57:Z57" si="67">S57+V57</f>
        <v>3871</v>
      </c>
      <c r="Z57" s="7">
        <f t="shared" si="67"/>
        <v>2471</v>
      </c>
      <c r="AA57" s="6">
        <f t="shared" si="12"/>
        <v>1.566572238</v>
      </c>
      <c r="AB57" s="6">
        <f t="shared" si="13"/>
        <v>22.03939877</v>
      </c>
    </row>
    <row r="58">
      <c r="A58" s="6">
        <v>2024.0</v>
      </c>
      <c r="B58" s="6">
        <v>7.0</v>
      </c>
      <c r="C58" s="6">
        <v>18.0</v>
      </c>
      <c r="D58" s="6">
        <v>1.0</v>
      </c>
      <c r="E58" s="7">
        <v>7285.0</v>
      </c>
      <c r="F58" s="7">
        <v>9269.0</v>
      </c>
      <c r="G58" s="7">
        <v>3430.0</v>
      </c>
      <c r="H58" s="7">
        <v>3405.0</v>
      </c>
      <c r="I58" s="7">
        <v>3430.0</v>
      </c>
      <c r="J58" s="7">
        <v>0.0</v>
      </c>
      <c r="K58" s="7">
        <v>7517.0</v>
      </c>
      <c r="L58" s="7">
        <v>0.0</v>
      </c>
      <c r="M58" s="7">
        <v>6701.0</v>
      </c>
      <c r="N58" s="7">
        <v>0.0</v>
      </c>
      <c r="O58" s="7">
        <v>6707.0</v>
      </c>
      <c r="P58" s="7">
        <f t="shared" si="2"/>
        <v>7285</v>
      </c>
      <c r="Q58" s="7">
        <f t="shared" si="3"/>
        <v>3405</v>
      </c>
      <c r="R58" s="8">
        <f t="shared" si="4"/>
        <v>46.73987646</v>
      </c>
      <c r="S58" s="7">
        <f t="shared" si="5"/>
        <v>0</v>
      </c>
      <c r="T58" s="7">
        <f t="shared" si="6"/>
        <v>0</v>
      </c>
      <c r="U58" s="9" t="str">
        <f t="shared" si="7"/>
        <v>#DIV/0!</v>
      </c>
      <c r="V58" s="7">
        <f t="shared" si="8"/>
        <v>7511</v>
      </c>
      <c r="W58" s="7">
        <f t="shared" si="9"/>
        <v>6701</v>
      </c>
      <c r="X58" s="6">
        <f t="shared" si="10"/>
        <v>1.120877481</v>
      </c>
      <c r="Y58" s="7">
        <f t="shared" ref="Y58:Z58" si="68">S58+V58</f>
        <v>7511</v>
      </c>
      <c r="Z58" s="7">
        <f t="shared" si="68"/>
        <v>6701</v>
      </c>
      <c r="AA58" s="6">
        <f t="shared" si="12"/>
        <v>1.120877481</v>
      </c>
      <c r="AB58" s="6">
        <f t="shared" si="13"/>
        <v>81.0335527</v>
      </c>
    </row>
    <row r="59">
      <c r="A59" s="6">
        <v>2024.0</v>
      </c>
      <c r="B59" s="6">
        <v>7.0</v>
      </c>
      <c r="C59" s="6">
        <v>18.0</v>
      </c>
      <c r="D59" s="6">
        <v>2.0</v>
      </c>
      <c r="E59" s="7">
        <v>95588.0</v>
      </c>
      <c r="F59" s="7">
        <v>149396.0</v>
      </c>
      <c r="G59" s="7">
        <v>25992.0</v>
      </c>
      <c r="H59" s="7">
        <v>24670.0</v>
      </c>
      <c r="I59" s="7">
        <v>24796.0</v>
      </c>
      <c r="J59" s="7">
        <v>616.0</v>
      </c>
      <c r="K59" s="7">
        <v>50659.0</v>
      </c>
      <c r="L59" s="7">
        <v>150.0</v>
      </c>
      <c r="M59" s="7">
        <v>47902.0</v>
      </c>
      <c r="N59" s="7">
        <v>148.0</v>
      </c>
      <c r="O59" s="7">
        <v>48123.0</v>
      </c>
      <c r="P59" s="7">
        <f t="shared" si="2"/>
        <v>95588</v>
      </c>
      <c r="Q59" s="7">
        <f t="shared" si="3"/>
        <v>25866</v>
      </c>
      <c r="R59" s="8">
        <f t="shared" si="4"/>
        <v>27.05988199</v>
      </c>
      <c r="S59" s="7">
        <f t="shared" si="5"/>
        <v>618</v>
      </c>
      <c r="T59" s="7">
        <f t="shared" si="6"/>
        <v>150</v>
      </c>
      <c r="U59" s="6">
        <f t="shared" si="7"/>
        <v>4.12</v>
      </c>
      <c r="V59" s="7">
        <f t="shared" si="8"/>
        <v>50438</v>
      </c>
      <c r="W59" s="7">
        <f t="shared" si="9"/>
        <v>47902</v>
      </c>
      <c r="X59" s="6">
        <f t="shared" si="10"/>
        <v>1.052941422</v>
      </c>
      <c r="Y59" s="7">
        <f t="shared" ref="Y59:Z59" si="69">S59+V59</f>
        <v>51056</v>
      </c>
      <c r="Z59" s="7">
        <f t="shared" si="69"/>
        <v>48052</v>
      </c>
      <c r="AA59" s="6">
        <f t="shared" si="12"/>
        <v>1.062515608</v>
      </c>
      <c r="AB59" s="6">
        <f t="shared" si="13"/>
        <v>34.17494444</v>
      </c>
    </row>
    <row r="60">
      <c r="A60" s="6">
        <v>2024.0</v>
      </c>
      <c r="B60" s="6">
        <v>7.0</v>
      </c>
      <c r="C60" s="6">
        <v>18.0</v>
      </c>
      <c r="D60" s="6">
        <v>1.0</v>
      </c>
      <c r="E60" s="7">
        <v>51176.0</v>
      </c>
      <c r="F60" s="7">
        <v>77858.0</v>
      </c>
      <c r="G60" s="7">
        <v>25860.0</v>
      </c>
      <c r="H60" s="7">
        <v>21198.0</v>
      </c>
      <c r="I60" s="7">
        <v>21420.0</v>
      </c>
      <c r="J60" s="7">
        <v>66.0</v>
      </c>
      <c r="K60" s="7">
        <v>47049.0</v>
      </c>
      <c r="L60" s="7">
        <v>48.0</v>
      </c>
      <c r="M60" s="7">
        <v>39800.0</v>
      </c>
      <c r="N60" s="7">
        <v>38.0</v>
      </c>
      <c r="O60" s="7">
        <v>40301.0</v>
      </c>
      <c r="P60" s="7">
        <f t="shared" si="2"/>
        <v>51176</v>
      </c>
      <c r="Q60" s="7">
        <f t="shared" si="3"/>
        <v>25638</v>
      </c>
      <c r="R60" s="8">
        <f t="shared" si="4"/>
        <v>50.09770205</v>
      </c>
      <c r="S60" s="7">
        <f t="shared" si="5"/>
        <v>76</v>
      </c>
      <c r="T60" s="7">
        <f t="shared" si="6"/>
        <v>48</v>
      </c>
      <c r="U60" s="6">
        <f t="shared" si="7"/>
        <v>1.583333333</v>
      </c>
      <c r="V60" s="7">
        <f t="shared" si="8"/>
        <v>46548</v>
      </c>
      <c r="W60" s="7">
        <f t="shared" si="9"/>
        <v>39800</v>
      </c>
      <c r="X60" s="6">
        <f t="shared" si="10"/>
        <v>1.169547739</v>
      </c>
      <c r="Y60" s="7">
        <f t="shared" ref="Y60:Z60" si="70">S60+V60</f>
        <v>46624</v>
      </c>
      <c r="Z60" s="7">
        <f t="shared" si="70"/>
        <v>39848</v>
      </c>
      <c r="AA60" s="6">
        <f t="shared" si="12"/>
        <v>1.170046175</v>
      </c>
      <c r="AB60" s="6">
        <f t="shared" si="13"/>
        <v>59.88337743</v>
      </c>
    </row>
    <row r="61">
      <c r="A61" s="6">
        <v>2024.0</v>
      </c>
      <c r="B61" s="6">
        <v>7.0</v>
      </c>
      <c r="C61" s="6">
        <v>18.0</v>
      </c>
      <c r="D61" s="6">
        <v>2.0</v>
      </c>
      <c r="E61" s="7">
        <v>57119.0</v>
      </c>
      <c r="F61" s="7">
        <v>89294.0</v>
      </c>
      <c r="G61" s="7">
        <v>15057.0</v>
      </c>
      <c r="H61" s="7">
        <v>14527.0</v>
      </c>
      <c r="I61" s="7">
        <v>14612.0</v>
      </c>
      <c r="J61" s="7">
        <v>30.0</v>
      </c>
      <c r="K61" s="7">
        <v>29918.0</v>
      </c>
      <c r="L61" s="7">
        <v>10.0</v>
      </c>
      <c r="M61" s="7">
        <v>28453.0</v>
      </c>
      <c r="N61" s="7">
        <v>0.0</v>
      </c>
      <c r="O61" s="7">
        <v>28594.0</v>
      </c>
      <c r="P61" s="7">
        <f t="shared" si="2"/>
        <v>57119</v>
      </c>
      <c r="Q61" s="7">
        <f t="shared" si="3"/>
        <v>14972</v>
      </c>
      <c r="R61" s="8">
        <f t="shared" si="4"/>
        <v>26.21194349</v>
      </c>
      <c r="S61" s="7">
        <f t="shared" si="5"/>
        <v>40</v>
      </c>
      <c r="T61" s="7">
        <f t="shared" si="6"/>
        <v>10</v>
      </c>
      <c r="U61" s="6">
        <f t="shared" si="7"/>
        <v>4</v>
      </c>
      <c r="V61" s="7">
        <f t="shared" si="8"/>
        <v>29777</v>
      </c>
      <c r="W61" s="7">
        <f t="shared" si="9"/>
        <v>28453</v>
      </c>
      <c r="X61" s="6">
        <f t="shared" si="10"/>
        <v>1.046532879</v>
      </c>
      <c r="Y61" s="7">
        <f t="shared" ref="Y61:Z61" si="71">S61+V61</f>
        <v>29817</v>
      </c>
      <c r="Z61" s="7">
        <f t="shared" si="71"/>
        <v>28463</v>
      </c>
      <c r="AA61" s="6">
        <f t="shared" si="12"/>
        <v>1.04757053</v>
      </c>
      <c r="AB61" s="6">
        <f t="shared" si="13"/>
        <v>33.39194123</v>
      </c>
    </row>
    <row r="62">
      <c r="A62" s="6">
        <v>2024.0</v>
      </c>
      <c r="B62" s="6">
        <v>7.0</v>
      </c>
      <c r="C62" s="6">
        <v>18.0</v>
      </c>
      <c r="D62" s="6">
        <v>1.0</v>
      </c>
      <c r="E62" s="7">
        <v>47182.0</v>
      </c>
      <c r="F62" s="7">
        <v>73439.0</v>
      </c>
      <c r="G62" s="7">
        <v>22481.0</v>
      </c>
      <c r="H62" s="7">
        <v>16280.0</v>
      </c>
      <c r="I62" s="7">
        <v>16363.0</v>
      </c>
      <c r="J62" s="7">
        <v>623.0</v>
      </c>
      <c r="K62" s="7">
        <v>41795.0</v>
      </c>
      <c r="L62" s="7">
        <v>314.0</v>
      </c>
      <c r="M62" s="7">
        <v>30105.0</v>
      </c>
      <c r="N62" s="7">
        <v>328.0</v>
      </c>
      <c r="O62" s="7">
        <v>30307.0</v>
      </c>
      <c r="P62" s="7">
        <f t="shared" si="2"/>
        <v>47182</v>
      </c>
      <c r="Q62" s="7">
        <f t="shared" si="3"/>
        <v>22398</v>
      </c>
      <c r="R62" s="8">
        <f t="shared" si="4"/>
        <v>47.47149337</v>
      </c>
      <c r="S62" s="7">
        <f t="shared" si="5"/>
        <v>609</v>
      </c>
      <c r="T62" s="7">
        <f t="shared" si="6"/>
        <v>314</v>
      </c>
      <c r="U62" s="6">
        <f t="shared" si="7"/>
        <v>1.939490446</v>
      </c>
      <c r="V62" s="7">
        <f t="shared" si="8"/>
        <v>41593</v>
      </c>
      <c r="W62" s="7">
        <f t="shared" si="9"/>
        <v>30105</v>
      </c>
      <c r="X62" s="6">
        <f t="shared" si="10"/>
        <v>1.381597741</v>
      </c>
      <c r="Y62" s="7">
        <f t="shared" ref="Y62:Z62" si="72">S62+V62</f>
        <v>42202</v>
      </c>
      <c r="Z62" s="7">
        <f t="shared" si="72"/>
        <v>30419</v>
      </c>
      <c r="AA62" s="6">
        <f t="shared" si="12"/>
        <v>1.387356586</v>
      </c>
      <c r="AB62" s="6">
        <f t="shared" si="13"/>
        <v>57.46537943</v>
      </c>
    </row>
    <row r="63">
      <c r="A63" s="6">
        <v>2024.0</v>
      </c>
      <c r="B63" s="6">
        <v>7.0</v>
      </c>
      <c r="C63" s="6">
        <v>18.0</v>
      </c>
      <c r="D63" s="6">
        <v>2.0</v>
      </c>
      <c r="E63" s="7">
        <v>36537.0</v>
      </c>
      <c r="F63" s="7">
        <v>55875.0</v>
      </c>
      <c r="G63" s="7">
        <v>12346.0</v>
      </c>
      <c r="H63" s="7">
        <v>10653.0</v>
      </c>
      <c r="I63" s="7">
        <v>10685.0</v>
      </c>
      <c r="J63" s="7">
        <v>31.0</v>
      </c>
      <c r="K63" s="7">
        <v>22665.0</v>
      </c>
      <c r="L63" s="7">
        <v>8.0</v>
      </c>
      <c r="M63" s="7">
        <v>19741.0</v>
      </c>
      <c r="N63" s="7">
        <v>8.0</v>
      </c>
      <c r="O63" s="7">
        <v>19795.0</v>
      </c>
      <c r="P63" s="7">
        <f t="shared" si="2"/>
        <v>36537</v>
      </c>
      <c r="Q63" s="7">
        <f t="shared" si="3"/>
        <v>12314</v>
      </c>
      <c r="R63" s="8">
        <f t="shared" si="4"/>
        <v>33.7028218</v>
      </c>
      <c r="S63" s="7">
        <f t="shared" si="5"/>
        <v>31</v>
      </c>
      <c r="T63" s="7">
        <f t="shared" si="6"/>
        <v>8</v>
      </c>
      <c r="U63" s="6">
        <f t="shared" si="7"/>
        <v>3.875</v>
      </c>
      <c r="V63" s="7">
        <f t="shared" si="8"/>
        <v>22611</v>
      </c>
      <c r="W63" s="7">
        <f t="shared" si="9"/>
        <v>19741</v>
      </c>
      <c r="X63" s="6">
        <f t="shared" si="10"/>
        <v>1.145382706</v>
      </c>
      <c r="Y63" s="7">
        <f t="shared" ref="Y63:Z63" si="73">S63+V63</f>
        <v>22642</v>
      </c>
      <c r="Z63" s="7">
        <f t="shared" si="73"/>
        <v>19749</v>
      </c>
      <c r="AA63" s="6">
        <f t="shared" si="12"/>
        <v>1.14648843</v>
      </c>
      <c r="AB63" s="6">
        <f t="shared" si="13"/>
        <v>40.52259508</v>
      </c>
    </row>
    <row r="64">
      <c r="A64" s="6">
        <v>2024.0</v>
      </c>
      <c r="B64" s="6">
        <v>7.0</v>
      </c>
      <c r="C64" s="6">
        <v>18.0</v>
      </c>
      <c r="D64" s="6">
        <v>1.0</v>
      </c>
      <c r="E64" s="7">
        <v>10385.0</v>
      </c>
      <c r="F64" s="7">
        <v>13950.0</v>
      </c>
      <c r="G64" s="7">
        <v>3834.0</v>
      </c>
      <c r="H64" s="7">
        <v>3723.0</v>
      </c>
      <c r="I64" s="7">
        <v>3697.0</v>
      </c>
      <c r="J64" s="7">
        <v>0.0</v>
      </c>
      <c r="K64" s="7">
        <v>6609.0</v>
      </c>
      <c r="L64" s="7">
        <v>0.0</v>
      </c>
      <c r="M64" s="7">
        <v>6658.0</v>
      </c>
      <c r="N64" s="7">
        <v>0.0</v>
      </c>
      <c r="O64" s="7">
        <v>6609.0</v>
      </c>
      <c r="P64" s="7">
        <f t="shared" si="2"/>
        <v>10385</v>
      </c>
      <c r="Q64" s="7">
        <f t="shared" si="3"/>
        <v>3860</v>
      </c>
      <c r="R64" s="8">
        <f t="shared" si="4"/>
        <v>37.16899374</v>
      </c>
      <c r="S64" s="7">
        <f t="shared" si="5"/>
        <v>0</v>
      </c>
      <c r="T64" s="7">
        <f t="shared" si="6"/>
        <v>0</v>
      </c>
      <c r="U64" s="9" t="str">
        <f t="shared" si="7"/>
        <v>#DIV/0!</v>
      </c>
      <c r="V64" s="7">
        <f t="shared" si="8"/>
        <v>6658</v>
      </c>
      <c r="W64" s="7">
        <f t="shared" si="9"/>
        <v>6658</v>
      </c>
      <c r="X64" s="6">
        <f t="shared" si="10"/>
        <v>1</v>
      </c>
      <c r="Y64" s="7">
        <f t="shared" ref="Y64:Z64" si="74">S64+V64</f>
        <v>6658</v>
      </c>
      <c r="Z64" s="7">
        <f t="shared" si="74"/>
        <v>6658</v>
      </c>
      <c r="AA64" s="6">
        <f t="shared" si="12"/>
        <v>1</v>
      </c>
      <c r="AB64" s="6">
        <f t="shared" si="13"/>
        <v>47.72759857</v>
      </c>
    </row>
    <row r="65">
      <c r="A65" s="6">
        <v>2024.0</v>
      </c>
      <c r="B65" s="6">
        <v>8.0</v>
      </c>
      <c r="C65" s="6">
        <v>18.0</v>
      </c>
      <c r="D65" s="6">
        <v>1.0</v>
      </c>
      <c r="E65" s="7">
        <v>5113.0</v>
      </c>
      <c r="F65" s="7">
        <v>8163.0</v>
      </c>
      <c r="G65" s="7">
        <v>1550.0</v>
      </c>
      <c r="H65" s="7">
        <v>1257.0</v>
      </c>
      <c r="I65" s="7">
        <v>1266.0</v>
      </c>
      <c r="J65" s="7">
        <v>0.0</v>
      </c>
      <c r="K65" s="7">
        <v>3113.0</v>
      </c>
      <c r="L65" s="7">
        <v>0.0</v>
      </c>
      <c r="M65" s="7">
        <v>2521.0</v>
      </c>
      <c r="N65" s="7">
        <v>0.0</v>
      </c>
      <c r="O65" s="7">
        <v>2538.0</v>
      </c>
      <c r="P65" s="7">
        <f t="shared" si="2"/>
        <v>5113</v>
      </c>
      <c r="Q65" s="7">
        <f t="shared" si="3"/>
        <v>1541</v>
      </c>
      <c r="R65" s="8">
        <f t="shared" si="4"/>
        <v>30.13886173</v>
      </c>
      <c r="S65" s="7">
        <f t="shared" si="5"/>
        <v>0</v>
      </c>
      <c r="T65" s="7">
        <f t="shared" si="6"/>
        <v>0</v>
      </c>
      <c r="U65" s="9" t="str">
        <f t="shared" si="7"/>
        <v>#DIV/0!</v>
      </c>
      <c r="V65" s="7">
        <f t="shared" si="8"/>
        <v>3096</v>
      </c>
      <c r="W65" s="7">
        <f t="shared" si="9"/>
        <v>2521</v>
      </c>
      <c r="X65" s="6">
        <f t="shared" si="10"/>
        <v>1.228084094</v>
      </c>
      <c r="Y65" s="7">
        <f t="shared" ref="Y65:Z65" si="75">S65+V65</f>
        <v>3096</v>
      </c>
      <c r="Z65" s="7">
        <f t="shared" si="75"/>
        <v>2521</v>
      </c>
      <c r="AA65" s="6">
        <f t="shared" si="12"/>
        <v>1.228084094</v>
      </c>
      <c r="AB65" s="6">
        <f t="shared" si="13"/>
        <v>37.92723264</v>
      </c>
    </row>
    <row r="66">
      <c r="A66" s="6">
        <v>2024.0</v>
      </c>
      <c r="B66" s="6">
        <v>8.0</v>
      </c>
      <c r="C66" s="6">
        <v>18.0</v>
      </c>
      <c r="D66" s="6">
        <v>2.0</v>
      </c>
      <c r="E66" s="7">
        <v>11824.0</v>
      </c>
      <c r="F66" s="7">
        <v>22626.0</v>
      </c>
      <c r="G66" s="7">
        <v>1550.0</v>
      </c>
      <c r="H66" s="7">
        <v>1055.0</v>
      </c>
      <c r="I66" s="7">
        <v>1033.0</v>
      </c>
      <c r="J66" s="7">
        <v>911.0</v>
      </c>
      <c r="K66" s="7">
        <v>2296.0</v>
      </c>
      <c r="L66" s="7">
        <v>213.0</v>
      </c>
      <c r="M66" s="7">
        <v>1953.0</v>
      </c>
      <c r="N66" s="7">
        <v>213.0</v>
      </c>
      <c r="O66" s="7">
        <v>1924.0</v>
      </c>
      <c r="P66" s="7">
        <f t="shared" si="2"/>
        <v>11824</v>
      </c>
      <c r="Q66" s="7">
        <f t="shared" si="3"/>
        <v>1572</v>
      </c>
      <c r="R66" s="8">
        <f t="shared" si="4"/>
        <v>13.29499323</v>
      </c>
      <c r="S66" s="7">
        <f t="shared" si="5"/>
        <v>911</v>
      </c>
      <c r="T66" s="7">
        <f t="shared" si="6"/>
        <v>213</v>
      </c>
      <c r="U66" s="6">
        <f t="shared" si="7"/>
        <v>4.276995305</v>
      </c>
      <c r="V66" s="7">
        <f t="shared" si="8"/>
        <v>2325</v>
      </c>
      <c r="W66" s="7">
        <f t="shared" si="9"/>
        <v>1953</v>
      </c>
      <c r="X66" s="6">
        <f t="shared" si="10"/>
        <v>1.19047619</v>
      </c>
      <c r="Y66" s="7">
        <f t="shared" ref="Y66:Z66" si="76">S66+V66</f>
        <v>3236</v>
      </c>
      <c r="Z66" s="7">
        <f t="shared" si="76"/>
        <v>2166</v>
      </c>
      <c r="AA66" s="6">
        <f t="shared" si="12"/>
        <v>1.493998153</v>
      </c>
      <c r="AB66" s="6">
        <f t="shared" si="13"/>
        <v>14.30213029</v>
      </c>
    </row>
    <row r="67">
      <c r="A67" s="6">
        <v>2024.0</v>
      </c>
      <c r="B67" s="6">
        <v>8.0</v>
      </c>
      <c r="C67" s="6">
        <v>18.0</v>
      </c>
      <c r="D67" s="6">
        <v>1.0</v>
      </c>
      <c r="E67" s="7">
        <v>6014.0</v>
      </c>
      <c r="F67" s="7">
        <v>7781.0</v>
      </c>
      <c r="G67" s="7">
        <v>2652.0</v>
      </c>
      <c r="H67" s="7">
        <v>2720.0</v>
      </c>
      <c r="I67" s="7">
        <v>2652.0</v>
      </c>
      <c r="J67" s="7">
        <v>0.0</v>
      </c>
      <c r="K67" s="7">
        <v>4874.0</v>
      </c>
      <c r="L67" s="7">
        <v>0.0</v>
      </c>
      <c r="M67" s="7">
        <v>4942.0</v>
      </c>
      <c r="N67" s="7">
        <v>0.0</v>
      </c>
      <c r="O67" s="7">
        <v>4874.0</v>
      </c>
      <c r="P67" s="7">
        <f t="shared" si="2"/>
        <v>6014</v>
      </c>
      <c r="Q67" s="7">
        <f t="shared" si="3"/>
        <v>2720</v>
      </c>
      <c r="R67" s="8">
        <f t="shared" si="4"/>
        <v>45.2278018</v>
      </c>
      <c r="S67" s="7">
        <f t="shared" si="5"/>
        <v>0</v>
      </c>
      <c r="T67" s="7">
        <f t="shared" si="6"/>
        <v>0</v>
      </c>
      <c r="U67" s="9" t="str">
        <f t="shared" si="7"/>
        <v>#DIV/0!</v>
      </c>
      <c r="V67" s="7">
        <f t="shared" si="8"/>
        <v>4942</v>
      </c>
      <c r="W67" s="7">
        <f t="shared" si="9"/>
        <v>4942</v>
      </c>
      <c r="X67" s="6">
        <f t="shared" si="10"/>
        <v>1</v>
      </c>
      <c r="Y67" s="7">
        <f t="shared" ref="Y67:Z67" si="77">S67+V67</f>
        <v>4942</v>
      </c>
      <c r="Z67" s="7">
        <f t="shared" si="77"/>
        <v>4942</v>
      </c>
      <c r="AA67" s="6">
        <f t="shared" si="12"/>
        <v>1</v>
      </c>
      <c r="AB67" s="6">
        <f t="shared" si="13"/>
        <v>63.51368719</v>
      </c>
    </row>
    <row r="68">
      <c r="A68" s="6">
        <v>2024.0</v>
      </c>
      <c r="B68" s="6">
        <v>8.0</v>
      </c>
      <c r="C68" s="6">
        <v>18.0</v>
      </c>
      <c r="D68" s="6">
        <v>2.0</v>
      </c>
      <c r="E68" s="7">
        <v>96515.0</v>
      </c>
      <c r="F68" s="7">
        <v>151028.0</v>
      </c>
      <c r="G68" s="7">
        <v>25526.0</v>
      </c>
      <c r="H68" s="7">
        <v>24411.0</v>
      </c>
      <c r="I68" s="7">
        <v>24231.0</v>
      </c>
      <c r="J68" s="7">
        <v>384.0</v>
      </c>
      <c r="K68" s="7">
        <v>48525.0</v>
      </c>
      <c r="L68" s="7">
        <v>88.0</v>
      </c>
      <c r="M68" s="7">
        <v>47178.0</v>
      </c>
      <c r="N68" s="7">
        <v>88.0</v>
      </c>
      <c r="O68" s="7">
        <v>46851.0</v>
      </c>
      <c r="P68" s="7">
        <f t="shared" si="2"/>
        <v>96515</v>
      </c>
      <c r="Q68" s="7">
        <f t="shared" si="3"/>
        <v>25706</v>
      </c>
      <c r="R68" s="8">
        <f t="shared" si="4"/>
        <v>26.63420194</v>
      </c>
      <c r="S68" s="7">
        <f t="shared" si="5"/>
        <v>384</v>
      </c>
      <c r="T68" s="7">
        <f t="shared" si="6"/>
        <v>88</v>
      </c>
      <c r="U68" s="6">
        <f t="shared" si="7"/>
        <v>4.363636364</v>
      </c>
      <c r="V68" s="7">
        <f t="shared" si="8"/>
        <v>48852</v>
      </c>
      <c r="W68" s="7">
        <f t="shared" si="9"/>
        <v>47178</v>
      </c>
      <c r="X68" s="6">
        <f t="shared" si="10"/>
        <v>1.03548264</v>
      </c>
      <c r="Y68" s="7">
        <f t="shared" ref="Y68:Z68" si="78">S68+V68</f>
        <v>49236</v>
      </c>
      <c r="Z68" s="7">
        <f t="shared" si="78"/>
        <v>47266</v>
      </c>
      <c r="AA68" s="6">
        <f t="shared" si="12"/>
        <v>1.041679008</v>
      </c>
      <c r="AB68" s="6">
        <f t="shared" si="13"/>
        <v>32.60057738</v>
      </c>
    </row>
    <row r="69">
      <c r="A69" s="6">
        <v>2024.0</v>
      </c>
      <c r="B69" s="6">
        <v>8.0</v>
      </c>
      <c r="C69" s="6">
        <v>18.0</v>
      </c>
      <c r="D69" s="6">
        <v>1.0</v>
      </c>
      <c r="E69" s="7">
        <v>50044.0</v>
      </c>
      <c r="F69" s="7">
        <v>76554.0</v>
      </c>
      <c r="G69" s="7">
        <v>23046.0</v>
      </c>
      <c r="H69" s="7">
        <v>18163.0</v>
      </c>
      <c r="I69" s="7">
        <v>17898.0</v>
      </c>
      <c r="J69" s="7">
        <v>121.0</v>
      </c>
      <c r="K69" s="7">
        <v>41708.0</v>
      </c>
      <c r="L69" s="7">
        <v>70.0</v>
      </c>
      <c r="M69" s="7">
        <v>32556.0</v>
      </c>
      <c r="N69" s="7">
        <v>67.0</v>
      </c>
      <c r="O69" s="7">
        <v>32119.0</v>
      </c>
      <c r="P69" s="7">
        <f t="shared" si="2"/>
        <v>50044</v>
      </c>
      <c r="Q69" s="7">
        <f t="shared" si="3"/>
        <v>23311</v>
      </c>
      <c r="R69" s="8">
        <f t="shared" si="4"/>
        <v>46.58100871</v>
      </c>
      <c r="S69" s="7">
        <f t="shared" si="5"/>
        <v>124</v>
      </c>
      <c r="T69" s="7">
        <f t="shared" si="6"/>
        <v>70</v>
      </c>
      <c r="U69" s="6">
        <f t="shared" si="7"/>
        <v>1.771428571</v>
      </c>
      <c r="V69" s="7">
        <f t="shared" si="8"/>
        <v>42145</v>
      </c>
      <c r="W69" s="7">
        <f t="shared" si="9"/>
        <v>32556</v>
      </c>
      <c r="X69" s="6">
        <f t="shared" si="10"/>
        <v>1.294538641</v>
      </c>
      <c r="Y69" s="7">
        <f t="shared" ref="Y69:Z69" si="79">S69+V69</f>
        <v>42269</v>
      </c>
      <c r="Z69" s="7">
        <f t="shared" si="79"/>
        <v>32626</v>
      </c>
      <c r="AA69" s="6">
        <f t="shared" si="12"/>
        <v>1.295561822</v>
      </c>
      <c r="AB69" s="6">
        <f t="shared" si="13"/>
        <v>55.21461975</v>
      </c>
    </row>
    <row r="70">
      <c r="A70" s="6">
        <v>2024.0</v>
      </c>
      <c r="B70" s="6">
        <v>8.0</v>
      </c>
      <c r="C70" s="6">
        <v>18.0</v>
      </c>
      <c r="D70" s="6">
        <v>2.0</v>
      </c>
      <c r="E70" s="7">
        <v>59262.0</v>
      </c>
      <c r="F70" s="7">
        <v>92250.0</v>
      </c>
      <c r="G70" s="7">
        <v>17207.0</v>
      </c>
      <c r="H70" s="7">
        <v>15184.0</v>
      </c>
      <c r="I70" s="7">
        <v>14863.0</v>
      </c>
      <c r="J70" s="7">
        <v>0.0</v>
      </c>
      <c r="K70" s="7">
        <v>32124.0</v>
      </c>
      <c r="L70" s="7">
        <v>0.0</v>
      </c>
      <c r="M70" s="7">
        <v>29967.0</v>
      </c>
      <c r="N70" s="7">
        <v>0.0</v>
      </c>
      <c r="O70" s="7">
        <v>29626.0</v>
      </c>
      <c r="P70" s="7">
        <f t="shared" si="2"/>
        <v>59262</v>
      </c>
      <c r="Q70" s="7">
        <f t="shared" si="3"/>
        <v>17528</v>
      </c>
      <c r="R70" s="8">
        <f t="shared" si="4"/>
        <v>29.57713206</v>
      </c>
      <c r="S70" s="7">
        <f t="shared" si="5"/>
        <v>0</v>
      </c>
      <c r="T70" s="7">
        <f t="shared" si="6"/>
        <v>0</v>
      </c>
      <c r="U70" s="9" t="str">
        <f t="shared" si="7"/>
        <v>#DIV/0!</v>
      </c>
      <c r="V70" s="7">
        <f t="shared" si="8"/>
        <v>32465</v>
      </c>
      <c r="W70" s="7">
        <f t="shared" si="9"/>
        <v>29967</v>
      </c>
      <c r="X70" s="6">
        <f t="shared" si="10"/>
        <v>1.083358361</v>
      </c>
      <c r="Y70" s="7">
        <f t="shared" ref="Y70:Z70" si="80">S70+V70</f>
        <v>32465</v>
      </c>
      <c r="Z70" s="7">
        <f t="shared" si="80"/>
        <v>29967</v>
      </c>
      <c r="AA70" s="6">
        <f t="shared" si="12"/>
        <v>1.083358361</v>
      </c>
      <c r="AB70" s="6">
        <f t="shared" si="13"/>
        <v>35.19241192</v>
      </c>
    </row>
    <row r="71">
      <c r="A71" s="6">
        <v>2024.0</v>
      </c>
      <c r="B71" s="6">
        <v>8.0</v>
      </c>
      <c r="C71" s="6">
        <v>18.0</v>
      </c>
      <c r="D71" s="6">
        <v>1.0</v>
      </c>
      <c r="E71" s="7">
        <v>47182.0</v>
      </c>
      <c r="F71" s="7">
        <v>73439.0</v>
      </c>
      <c r="G71" s="7">
        <v>22758.0</v>
      </c>
      <c r="H71" s="7">
        <v>16363.0</v>
      </c>
      <c r="I71" s="7">
        <v>16323.0</v>
      </c>
      <c r="J71" s="7">
        <v>682.0</v>
      </c>
      <c r="K71" s="7">
        <v>44733.0</v>
      </c>
      <c r="L71" s="7">
        <v>436.0</v>
      </c>
      <c r="M71" s="7">
        <v>30227.0</v>
      </c>
      <c r="N71" s="7">
        <v>432.0</v>
      </c>
      <c r="O71" s="7">
        <v>29616.0</v>
      </c>
      <c r="P71" s="7">
        <f t="shared" si="2"/>
        <v>47182</v>
      </c>
      <c r="Q71" s="7">
        <f t="shared" si="3"/>
        <v>22798</v>
      </c>
      <c r="R71" s="8">
        <f t="shared" si="4"/>
        <v>48.3192743</v>
      </c>
      <c r="S71" s="7">
        <f t="shared" si="5"/>
        <v>686</v>
      </c>
      <c r="T71" s="7">
        <f t="shared" si="6"/>
        <v>436</v>
      </c>
      <c r="U71" s="6">
        <f t="shared" si="7"/>
        <v>1.573394495</v>
      </c>
      <c r="V71" s="7">
        <f t="shared" si="8"/>
        <v>45344</v>
      </c>
      <c r="W71" s="7">
        <f t="shared" si="9"/>
        <v>30227</v>
      </c>
      <c r="X71" s="6">
        <f t="shared" si="10"/>
        <v>1.500115791</v>
      </c>
      <c r="Y71" s="7">
        <f t="shared" ref="Y71:Z71" si="81">S71+V71</f>
        <v>46030</v>
      </c>
      <c r="Z71" s="7">
        <f t="shared" si="81"/>
        <v>30663</v>
      </c>
      <c r="AA71" s="6">
        <f t="shared" si="12"/>
        <v>1.501157747</v>
      </c>
      <c r="AB71" s="6">
        <f t="shared" si="13"/>
        <v>62.67786871</v>
      </c>
    </row>
    <row r="72">
      <c r="A72" s="6">
        <v>2024.0</v>
      </c>
      <c r="B72" s="6">
        <v>8.0</v>
      </c>
      <c r="C72" s="6">
        <v>18.0</v>
      </c>
      <c r="D72" s="6">
        <v>2.0</v>
      </c>
      <c r="E72" s="7">
        <v>37936.0</v>
      </c>
      <c r="F72" s="7">
        <v>57380.0</v>
      </c>
      <c r="G72" s="7">
        <v>13800.0</v>
      </c>
      <c r="H72" s="7">
        <v>11484.0</v>
      </c>
      <c r="I72" s="7">
        <v>11279.0</v>
      </c>
      <c r="J72" s="7">
        <v>4.0</v>
      </c>
      <c r="K72" s="7">
        <v>25326.0</v>
      </c>
      <c r="L72" s="7">
        <v>4.0</v>
      </c>
      <c r="M72" s="7">
        <v>21394.0</v>
      </c>
      <c r="N72" s="7">
        <v>4.0</v>
      </c>
      <c r="O72" s="7">
        <v>21072.0</v>
      </c>
      <c r="P72" s="7">
        <f t="shared" si="2"/>
        <v>37936</v>
      </c>
      <c r="Q72" s="7">
        <f t="shared" si="3"/>
        <v>14005</v>
      </c>
      <c r="R72" s="8">
        <f t="shared" si="4"/>
        <v>36.9174399</v>
      </c>
      <c r="S72" s="7">
        <f t="shared" si="5"/>
        <v>4</v>
      </c>
      <c r="T72" s="7">
        <f t="shared" si="6"/>
        <v>4</v>
      </c>
      <c r="U72" s="6">
        <f t="shared" si="7"/>
        <v>1</v>
      </c>
      <c r="V72" s="7">
        <f t="shared" si="8"/>
        <v>25648</v>
      </c>
      <c r="W72" s="7">
        <f t="shared" si="9"/>
        <v>21394</v>
      </c>
      <c r="X72" s="6">
        <f t="shared" si="10"/>
        <v>1.198840796</v>
      </c>
      <c r="Y72" s="7">
        <f t="shared" ref="Y72:Z72" si="82">S72+V72</f>
        <v>25652</v>
      </c>
      <c r="Z72" s="7">
        <f t="shared" si="82"/>
        <v>21398</v>
      </c>
      <c r="AA72" s="6">
        <f t="shared" si="12"/>
        <v>1.198803627</v>
      </c>
      <c r="AB72" s="6">
        <f t="shared" si="13"/>
        <v>44.70547229</v>
      </c>
    </row>
    <row r="73">
      <c r="A73" s="6">
        <v>2024.0</v>
      </c>
      <c r="B73" s="6">
        <v>8.0</v>
      </c>
      <c r="C73" s="6">
        <v>18.0</v>
      </c>
      <c r="D73" s="6">
        <v>1.0</v>
      </c>
      <c r="E73" s="7">
        <v>10354.0</v>
      </c>
      <c r="F73" s="7">
        <v>13950.0</v>
      </c>
      <c r="G73" s="7">
        <v>7155.0</v>
      </c>
      <c r="H73" s="7">
        <v>4312.0</v>
      </c>
      <c r="I73" s="7">
        <v>4110.0</v>
      </c>
      <c r="J73" s="7">
        <v>0.0</v>
      </c>
      <c r="K73" s="7">
        <v>10779.0</v>
      </c>
      <c r="L73" s="7">
        <v>0.0</v>
      </c>
      <c r="M73" s="7">
        <v>8129.0</v>
      </c>
      <c r="N73" s="7">
        <v>0.0</v>
      </c>
      <c r="O73" s="7">
        <v>7945.0</v>
      </c>
      <c r="P73" s="7">
        <f t="shared" si="2"/>
        <v>10354</v>
      </c>
      <c r="Q73" s="7">
        <f t="shared" si="3"/>
        <v>7357</v>
      </c>
      <c r="R73" s="8">
        <f t="shared" si="4"/>
        <v>71.05466486</v>
      </c>
      <c r="S73" s="7">
        <f t="shared" si="5"/>
        <v>0</v>
      </c>
      <c r="T73" s="7">
        <f t="shared" si="6"/>
        <v>0</v>
      </c>
      <c r="U73" s="9" t="str">
        <f t="shared" si="7"/>
        <v>#DIV/0!</v>
      </c>
      <c r="V73" s="7">
        <f t="shared" si="8"/>
        <v>10963</v>
      </c>
      <c r="W73" s="7">
        <f t="shared" si="9"/>
        <v>8129</v>
      </c>
      <c r="X73" s="6">
        <f t="shared" si="10"/>
        <v>1.348628368</v>
      </c>
      <c r="Y73" s="7">
        <f t="shared" ref="Y73:Z73" si="83">S73+V73</f>
        <v>10963</v>
      </c>
      <c r="Z73" s="7">
        <f t="shared" si="83"/>
        <v>8129</v>
      </c>
      <c r="AA73" s="6">
        <f t="shared" si="12"/>
        <v>1.348628368</v>
      </c>
      <c r="AB73" s="6">
        <f t="shared" si="13"/>
        <v>78.58781362</v>
      </c>
    </row>
    <row r="74">
      <c r="A74" s="6">
        <v>2024.0</v>
      </c>
      <c r="B74" s="6">
        <v>9.0</v>
      </c>
      <c r="C74" s="6">
        <v>18.0</v>
      </c>
      <c r="D74" s="6">
        <v>1.0</v>
      </c>
      <c r="E74" s="7">
        <v>4947.0</v>
      </c>
      <c r="F74" s="7">
        <v>7900.0</v>
      </c>
      <c r="G74" s="7">
        <v>1228.0</v>
      </c>
      <c r="H74" s="7">
        <v>1213.0</v>
      </c>
      <c r="I74" s="7">
        <v>1208.0</v>
      </c>
      <c r="J74" s="7">
        <v>0.0</v>
      </c>
      <c r="K74" s="7">
        <v>2460.0</v>
      </c>
      <c r="L74" s="7">
        <v>0.0</v>
      </c>
      <c r="M74" s="7">
        <v>2432.0</v>
      </c>
      <c r="N74" s="7">
        <v>0.0</v>
      </c>
      <c r="O74" s="7">
        <v>2420.0</v>
      </c>
      <c r="P74" s="7">
        <f t="shared" si="2"/>
        <v>4947</v>
      </c>
      <c r="Q74" s="7">
        <f t="shared" si="3"/>
        <v>1233</v>
      </c>
      <c r="R74" s="8">
        <f t="shared" si="4"/>
        <v>24.92419648</v>
      </c>
      <c r="S74" s="7">
        <f t="shared" si="5"/>
        <v>0</v>
      </c>
      <c r="T74" s="7">
        <f t="shared" si="6"/>
        <v>0</v>
      </c>
      <c r="U74" s="9" t="str">
        <f t="shared" si="7"/>
        <v>#DIV/0!</v>
      </c>
      <c r="V74" s="7">
        <f t="shared" si="8"/>
        <v>2472</v>
      </c>
      <c r="W74" s="7">
        <f t="shared" si="9"/>
        <v>2432</v>
      </c>
      <c r="X74" s="6">
        <f t="shared" si="10"/>
        <v>1.016447368</v>
      </c>
      <c r="Y74" s="7">
        <f t="shared" ref="Y74:Z74" si="84">S74+V74</f>
        <v>2472</v>
      </c>
      <c r="Z74" s="7">
        <f t="shared" si="84"/>
        <v>2432</v>
      </c>
      <c r="AA74" s="6">
        <f t="shared" si="12"/>
        <v>1.016447368</v>
      </c>
      <c r="AB74" s="6">
        <f t="shared" si="13"/>
        <v>31.29113924</v>
      </c>
    </row>
    <row r="75">
      <c r="A75" s="6">
        <v>2024.0</v>
      </c>
      <c r="B75" s="6">
        <v>9.0</v>
      </c>
      <c r="C75" s="6">
        <v>18.0</v>
      </c>
      <c r="D75" s="6">
        <v>2.0</v>
      </c>
      <c r="E75" s="7">
        <v>11535.0</v>
      </c>
      <c r="F75" s="7">
        <v>21900.0</v>
      </c>
      <c r="G75" s="7">
        <v>1585.0</v>
      </c>
      <c r="H75" s="7">
        <v>1252.0</v>
      </c>
      <c r="I75" s="7">
        <v>1261.0</v>
      </c>
      <c r="J75" s="7">
        <v>726.0</v>
      </c>
      <c r="K75" s="7">
        <v>2462.0</v>
      </c>
      <c r="L75" s="7">
        <v>174.0</v>
      </c>
      <c r="M75" s="7">
        <v>2344.0</v>
      </c>
      <c r="N75" s="7">
        <v>174.0</v>
      </c>
      <c r="O75" s="7">
        <v>2358.0</v>
      </c>
      <c r="P75" s="7">
        <f t="shared" si="2"/>
        <v>11535</v>
      </c>
      <c r="Q75" s="7">
        <f t="shared" si="3"/>
        <v>1576</v>
      </c>
      <c r="R75" s="8">
        <f t="shared" si="4"/>
        <v>13.6627655</v>
      </c>
      <c r="S75" s="7">
        <f t="shared" si="5"/>
        <v>726</v>
      </c>
      <c r="T75" s="7">
        <f t="shared" si="6"/>
        <v>174</v>
      </c>
      <c r="U75" s="6">
        <f t="shared" si="7"/>
        <v>4.172413793</v>
      </c>
      <c r="V75" s="7">
        <f t="shared" si="8"/>
        <v>2448</v>
      </c>
      <c r="W75" s="7">
        <f t="shared" si="9"/>
        <v>2344</v>
      </c>
      <c r="X75" s="6">
        <f t="shared" si="10"/>
        <v>1.044368601</v>
      </c>
      <c r="Y75" s="7">
        <f t="shared" ref="Y75:Z75" si="85">S75+V75</f>
        <v>3174</v>
      </c>
      <c r="Z75" s="7">
        <f t="shared" si="85"/>
        <v>2518</v>
      </c>
      <c r="AA75" s="6">
        <f t="shared" si="12"/>
        <v>1.260524226</v>
      </c>
      <c r="AB75" s="6">
        <f t="shared" si="13"/>
        <v>14.49315068</v>
      </c>
    </row>
    <row r="76">
      <c r="A76" s="6">
        <v>2024.0</v>
      </c>
      <c r="B76" s="6">
        <v>9.0</v>
      </c>
      <c r="C76" s="6">
        <v>18.0</v>
      </c>
      <c r="D76" s="6">
        <v>1.0</v>
      </c>
      <c r="E76" s="7">
        <v>10650.0</v>
      </c>
      <c r="F76" s="7">
        <v>16620.0</v>
      </c>
      <c r="G76" s="7">
        <v>4588.0</v>
      </c>
      <c r="H76" s="7">
        <v>4413.0</v>
      </c>
      <c r="I76" s="7">
        <v>4528.0</v>
      </c>
      <c r="J76" s="7">
        <v>0.0</v>
      </c>
      <c r="K76" s="7">
        <v>8796.0</v>
      </c>
      <c r="L76" s="7">
        <v>0.0</v>
      </c>
      <c r="M76" s="7">
        <v>8514.0</v>
      </c>
      <c r="N76" s="7">
        <v>0.0</v>
      </c>
      <c r="O76" s="7">
        <v>8676.0</v>
      </c>
      <c r="P76" s="7">
        <f t="shared" si="2"/>
        <v>10650</v>
      </c>
      <c r="Q76" s="7">
        <f t="shared" si="3"/>
        <v>4473</v>
      </c>
      <c r="R76" s="8">
        <f t="shared" si="4"/>
        <v>42</v>
      </c>
      <c r="S76" s="7">
        <f t="shared" si="5"/>
        <v>0</v>
      </c>
      <c r="T76" s="7">
        <f t="shared" si="6"/>
        <v>0</v>
      </c>
      <c r="U76" s="9" t="str">
        <f t="shared" si="7"/>
        <v>#DIV/0!</v>
      </c>
      <c r="V76" s="7">
        <f t="shared" si="8"/>
        <v>8634</v>
      </c>
      <c r="W76" s="7">
        <f t="shared" si="9"/>
        <v>8514</v>
      </c>
      <c r="X76" s="6">
        <f t="shared" si="10"/>
        <v>1.014094433</v>
      </c>
      <c r="Y76" s="7">
        <f t="shared" ref="Y76:Z76" si="86">S76+V76</f>
        <v>8634</v>
      </c>
      <c r="Z76" s="7">
        <f t="shared" si="86"/>
        <v>8514</v>
      </c>
      <c r="AA76" s="6">
        <f t="shared" si="12"/>
        <v>1.014094433</v>
      </c>
      <c r="AB76" s="6">
        <f t="shared" si="13"/>
        <v>51.94945848</v>
      </c>
    </row>
    <row r="77">
      <c r="A77" s="6">
        <v>2024.0</v>
      </c>
      <c r="B77" s="6">
        <v>9.0</v>
      </c>
      <c r="C77" s="6">
        <v>18.0</v>
      </c>
      <c r="D77" s="6">
        <v>2.0</v>
      </c>
      <c r="E77" s="7">
        <v>93432.0</v>
      </c>
      <c r="F77" s="7">
        <v>146690.0</v>
      </c>
      <c r="G77" s="7">
        <v>25383.0</v>
      </c>
      <c r="H77" s="7">
        <v>23439.0</v>
      </c>
      <c r="I77" s="7">
        <v>23604.0</v>
      </c>
      <c r="J77" s="7">
        <v>584.0</v>
      </c>
      <c r="K77" s="7">
        <v>48937.0</v>
      </c>
      <c r="L77" s="7">
        <v>138.0</v>
      </c>
      <c r="M77" s="7">
        <v>45340.0</v>
      </c>
      <c r="N77" s="7">
        <v>106.0</v>
      </c>
      <c r="O77" s="7">
        <v>45660.0</v>
      </c>
      <c r="P77" s="7">
        <f t="shared" si="2"/>
        <v>93432</v>
      </c>
      <c r="Q77" s="7">
        <f t="shared" si="3"/>
        <v>25218</v>
      </c>
      <c r="R77" s="8">
        <f t="shared" si="4"/>
        <v>26.99075263</v>
      </c>
      <c r="S77" s="7">
        <f t="shared" si="5"/>
        <v>616</v>
      </c>
      <c r="T77" s="7">
        <f t="shared" si="6"/>
        <v>138</v>
      </c>
      <c r="U77" s="6">
        <f t="shared" si="7"/>
        <v>4.463768116</v>
      </c>
      <c r="V77" s="7">
        <f t="shared" si="8"/>
        <v>48617</v>
      </c>
      <c r="W77" s="7">
        <f t="shared" si="9"/>
        <v>45340</v>
      </c>
      <c r="X77" s="6">
        <f t="shared" si="10"/>
        <v>1.072276136</v>
      </c>
      <c r="Y77" s="7">
        <f t="shared" ref="Y77:Z77" si="87">S77+V77</f>
        <v>49233</v>
      </c>
      <c r="Z77" s="7">
        <f t="shared" si="87"/>
        <v>45478</v>
      </c>
      <c r="AA77" s="6">
        <f t="shared" si="12"/>
        <v>1.082567395</v>
      </c>
      <c r="AB77" s="6">
        <f t="shared" si="13"/>
        <v>33.56261504</v>
      </c>
    </row>
    <row r="78">
      <c r="A78" s="6">
        <v>2024.0</v>
      </c>
      <c r="B78" s="6">
        <v>9.0</v>
      </c>
      <c r="C78" s="6">
        <v>18.0</v>
      </c>
      <c r="D78" s="6">
        <v>1.0</v>
      </c>
      <c r="E78" s="7">
        <v>49298.0</v>
      </c>
      <c r="F78" s="7">
        <v>75826.0</v>
      </c>
      <c r="G78" s="7">
        <v>22693.0</v>
      </c>
      <c r="H78" s="7">
        <v>17428.0</v>
      </c>
      <c r="I78" s="7">
        <v>17723.0</v>
      </c>
      <c r="J78" s="7">
        <v>108.0</v>
      </c>
      <c r="K78" s="7">
        <v>41768.0</v>
      </c>
      <c r="L78" s="7">
        <v>75.0</v>
      </c>
      <c r="M78" s="7">
        <v>32012.0</v>
      </c>
      <c r="N78" s="7">
        <v>80.0</v>
      </c>
      <c r="O78" s="7">
        <v>32448.0</v>
      </c>
      <c r="P78" s="7">
        <f t="shared" si="2"/>
        <v>49298</v>
      </c>
      <c r="Q78" s="7">
        <f t="shared" si="3"/>
        <v>22398</v>
      </c>
      <c r="R78" s="8">
        <f t="shared" si="4"/>
        <v>45.43389184</v>
      </c>
      <c r="S78" s="7">
        <f t="shared" si="5"/>
        <v>103</v>
      </c>
      <c r="T78" s="7">
        <f t="shared" si="6"/>
        <v>75</v>
      </c>
      <c r="U78" s="6">
        <f t="shared" si="7"/>
        <v>1.373333333</v>
      </c>
      <c r="V78" s="7">
        <f t="shared" si="8"/>
        <v>41332</v>
      </c>
      <c r="W78" s="7">
        <f t="shared" si="9"/>
        <v>32012</v>
      </c>
      <c r="X78" s="6">
        <f t="shared" si="10"/>
        <v>1.291140822</v>
      </c>
      <c r="Y78" s="7">
        <f t="shared" ref="Y78:Z78" si="88">S78+V78</f>
        <v>41435</v>
      </c>
      <c r="Z78" s="7">
        <f t="shared" si="88"/>
        <v>32087</v>
      </c>
      <c r="AA78" s="6">
        <f t="shared" si="12"/>
        <v>1.291332939</v>
      </c>
      <c r="AB78" s="6">
        <f t="shared" si="13"/>
        <v>54.64484478</v>
      </c>
    </row>
    <row r="79">
      <c r="A79" s="6">
        <v>2024.0</v>
      </c>
      <c r="B79" s="6">
        <v>9.0</v>
      </c>
      <c r="C79" s="6">
        <v>18.0</v>
      </c>
      <c r="D79" s="6">
        <v>2.0</v>
      </c>
      <c r="E79" s="7">
        <v>56451.0</v>
      </c>
      <c r="F79" s="7">
        <v>88119.0</v>
      </c>
      <c r="G79" s="7">
        <v>16041.0</v>
      </c>
      <c r="H79" s="7">
        <v>14847.0</v>
      </c>
      <c r="I79" s="7">
        <v>14996.0</v>
      </c>
      <c r="J79" s="7">
        <v>0.0</v>
      </c>
      <c r="K79" s="7">
        <v>31147.0</v>
      </c>
      <c r="L79" s="7">
        <v>0.0</v>
      </c>
      <c r="M79" s="7">
        <v>28752.0</v>
      </c>
      <c r="N79" s="7">
        <v>0.0</v>
      </c>
      <c r="O79" s="7">
        <v>29036.0</v>
      </c>
      <c r="P79" s="7">
        <f t="shared" si="2"/>
        <v>56451</v>
      </c>
      <c r="Q79" s="7">
        <f t="shared" si="3"/>
        <v>15892</v>
      </c>
      <c r="R79" s="8">
        <f t="shared" si="4"/>
        <v>28.15184851</v>
      </c>
      <c r="S79" s="7">
        <f t="shared" si="5"/>
        <v>0</v>
      </c>
      <c r="T79" s="7">
        <f t="shared" si="6"/>
        <v>0</v>
      </c>
      <c r="U79" s="9" t="str">
        <f t="shared" si="7"/>
        <v>#DIV/0!</v>
      </c>
      <c r="V79" s="7">
        <f t="shared" si="8"/>
        <v>30863</v>
      </c>
      <c r="W79" s="7">
        <f t="shared" si="9"/>
        <v>28752</v>
      </c>
      <c r="X79" s="6">
        <f t="shared" si="10"/>
        <v>1.073420979</v>
      </c>
      <c r="Y79" s="7">
        <f t="shared" ref="Y79:Z79" si="89">S79+V79</f>
        <v>30863</v>
      </c>
      <c r="Z79" s="7">
        <f t="shared" si="89"/>
        <v>28752</v>
      </c>
      <c r="AA79" s="6">
        <f t="shared" si="12"/>
        <v>1.073420979</v>
      </c>
      <c r="AB79" s="6">
        <f t="shared" si="13"/>
        <v>35.0242286</v>
      </c>
    </row>
    <row r="80">
      <c r="A80" s="6">
        <v>2024.0</v>
      </c>
      <c r="B80" s="6">
        <v>9.0</v>
      </c>
      <c r="C80" s="6">
        <v>18.0</v>
      </c>
      <c r="D80" s="6">
        <v>1.0</v>
      </c>
      <c r="E80" s="7">
        <v>39960.0</v>
      </c>
      <c r="F80" s="7">
        <v>60240.0</v>
      </c>
      <c r="G80" s="7">
        <v>22512.0</v>
      </c>
      <c r="H80" s="7">
        <v>15904.0</v>
      </c>
      <c r="I80" s="7">
        <v>16189.0</v>
      </c>
      <c r="J80" s="7">
        <v>663.0</v>
      </c>
      <c r="K80" s="7">
        <v>42554.0</v>
      </c>
      <c r="L80" s="7">
        <v>330.0</v>
      </c>
      <c r="M80" s="7">
        <v>29102.0</v>
      </c>
      <c r="N80" s="7">
        <v>323.0</v>
      </c>
      <c r="O80" s="7">
        <v>29720.0</v>
      </c>
      <c r="P80" s="7">
        <f t="shared" si="2"/>
        <v>39960</v>
      </c>
      <c r="Q80" s="7">
        <f t="shared" si="3"/>
        <v>22227</v>
      </c>
      <c r="R80" s="8">
        <f t="shared" si="4"/>
        <v>55.62312312</v>
      </c>
      <c r="S80" s="7">
        <f t="shared" si="5"/>
        <v>670</v>
      </c>
      <c r="T80" s="7">
        <f t="shared" si="6"/>
        <v>330</v>
      </c>
      <c r="U80" s="6">
        <f t="shared" si="7"/>
        <v>2.03030303</v>
      </c>
      <c r="V80" s="7">
        <f t="shared" si="8"/>
        <v>41936</v>
      </c>
      <c r="W80" s="7">
        <f t="shared" si="9"/>
        <v>29102</v>
      </c>
      <c r="X80" s="6">
        <f t="shared" si="10"/>
        <v>1.441000619</v>
      </c>
      <c r="Y80" s="7">
        <f t="shared" ref="Y80:Z80" si="90">S80+V80</f>
        <v>42606</v>
      </c>
      <c r="Z80" s="7">
        <f t="shared" si="90"/>
        <v>29432</v>
      </c>
      <c r="AA80" s="6">
        <f t="shared" si="12"/>
        <v>1.447608046</v>
      </c>
      <c r="AB80" s="6">
        <f t="shared" si="13"/>
        <v>70.72709163</v>
      </c>
    </row>
    <row r="81">
      <c r="A81" s="6">
        <v>2024.0</v>
      </c>
      <c r="B81" s="6">
        <v>9.0</v>
      </c>
      <c r="C81" s="6">
        <v>18.0</v>
      </c>
      <c r="D81" s="6">
        <v>2.0</v>
      </c>
      <c r="E81" s="7">
        <v>36710.0</v>
      </c>
      <c r="F81" s="7">
        <v>55529.0</v>
      </c>
      <c r="G81" s="7">
        <v>13301.0</v>
      </c>
      <c r="H81" s="7">
        <v>11579.0</v>
      </c>
      <c r="I81" s="7">
        <v>11686.0</v>
      </c>
      <c r="J81" s="7">
        <v>1.0</v>
      </c>
      <c r="K81" s="7">
        <v>24215.0</v>
      </c>
      <c r="L81" s="7">
        <v>1.0</v>
      </c>
      <c r="M81" s="7">
        <v>21418.0</v>
      </c>
      <c r="N81" s="7">
        <v>1.0</v>
      </c>
      <c r="O81" s="7">
        <v>21596.0</v>
      </c>
      <c r="P81" s="7">
        <f t="shared" si="2"/>
        <v>36710</v>
      </c>
      <c r="Q81" s="7">
        <f t="shared" si="3"/>
        <v>13194</v>
      </c>
      <c r="R81" s="8">
        <f t="shared" si="4"/>
        <v>35.94116045</v>
      </c>
      <c r="S81" s="7">
        <f t="shared" si="5"/>
        <v>1</v>
      </c>
      <c r="T81" s="7">
        <f t="shared" si="6"/>
        <v>1</v>
      </c>
      <c r="U81" s="6">
        <f t="shared" si="7"/>
        <v>1</v>
      </c>
      <c r="V81" s="7">
        <f t="shared" si="8"/>
        <v>24037</v>
      </c>
      <c r="W81" s="7">
        <f t="shared" si="9"/>
        <v>21418</v>
      </c>
      <c r="X81" s="6">
        <f t="shared" si="10"/>
        <v>1.122280325</v>
      </c>
      <c r="Y81" s="7">
        <f t="shared" ref="Y81:Z81" si="91">S81+V81</f>
        <v>24038</v>
      </c>
      <c r="Z81" s="7">
        <f t="shared" si="91"/>
        <v>21419</v>
      </c>
      <c r="AA81" s="6">
        <f t="shared" si="12"/>
        <v>1.122274616</v>
      </c>
      <c r="AB81" s="6">
        <f t="shared" si="13"/>
        <v>43.28909219</v>
      </c>
    </row>
    <row r="82">
      <c r="A82" s="6">
        <v>2024.0</v>
      </c>
      <c r="B82" s="6">
        <v>9.0</v>
      </c>
      <c r="C82" s="6">
        <v>18.0</v>
      </c>
      <c r="D82" s="6">
        <v>1.0</v>
      </c>
      <c r="E82" s="7">
        <v>10020.0</v>
      </c>
      <c r="F82" s="7">
        <v>13500.0</v>
      </c>
      <c r="G82" s="7">
        <v>6434.0</v>
      </c>
      <c r="H82" s="7">
        <v>4756.0</v>
      </c>
      <c r="I82" s="7">
        <v>4924.0</v>
      </c>
      <c r="J82" s="7">
        <v>0.0</v>
      </c>
      <c r="K82" s="7">
        <v>10937.0</v>
      </c>
      <c r="L82" s="7">
        <v>0.0</v>
      </c>
      <c r="M82" s="7">
        <v>9141.0</v>
      </c>
      <c r="N82" s="7">
        <v>0.0</v>
      </c>
      <c r="O82" s="7">
        <v>9313.0</v>
      </c>
      <c r="P82" s="7">
        <f t="shared" si="2"/>
        <v>10020</v>
      </c>
      <c r="Q82" s="7">
        <f t="shared" si="3"/>
        <v>6266</v>
      </c>
      <c r="R82" s="8">
        <f t="shared" si="4"/>
        <v>62.53493014</v>
      </c>
      <c r="S82" s="7">
        <f t="shared" si="5"/>
        <v>0</v>
      </c>
      <c r="T82" s="7">
        <f t="shared" si="6"/>
        <v>0</v>
      </c>
      <c r="U82" s="9" t="str">
        <f t="shared" si="7"/>
        <v>#DIV/0!</v>
      </c>
      <c r="V82" s="7">
        <f t="shared" si="8"/>
        <v>10765</v>
      </c>
      <c r="W82" s="7">
        <f t="shared" si="9"/>
        <v>9141</v>
      </c>
      <c r="X82" s="6">
        <f t="shared" si="10"/>
        <v>1.177661087</v>
      </c>
      <c r="Y82" s="7">
        <f t="shared" ref="Y82:Z82" si="92">S82+V82</f>
        <v>10765</v>
      </c>
      <c r="Z82" s="7">
        <f t="shared" si="92"/>
        <v>9141</v>
      </c>
      <c r="AA82" s="6">
        <f t="shared" si="12"/>
        <v>1.177661087</v>
      </c>
      <c r="AB82" s="6">
        <f t="shared" si="13"/>
        <v>79.74074074</v>
      </c>
    </row>
    <row r="83">
      <c r="A83" s="6">
        <v>2024.0</v>
      </c>
      <c r="B83" s="6">
        <v>10.0</v>
      </c>
      <c r="C83" s="6">
        <v>18.0</v>
      </c>
      <c r="D83" s="6">
        <v>1.0</v>
      </c>
      <c r="E83" s="7">
        <v>5113.0</v>
      </c>
      <c r="F83" s="7">
        <v>8163.0</v>
      </c>
      <c r="G83" s="7">
        <v>1157.0</v>
      </c>
      <c r="H83" s="7">
        <v>1155.0</v>
      </c>
      <c r="I83" s="7">
        <v>1157.0</v>
      </c>
      <c r="J83" s="7">
        <v>0.0</v>
      </c>
      <c r="K83" s="7">
        <v>2317.0</v>
      </c>
      <c r="L83" s="7">
        <v>0.0</v>
      </c>
      <c r="M83" s="7">
        <v>2312.0</v>
      </c>
      <c r="N83" s="7">
        <v>0.0</v>
      </c>
      <c r="O83" s="7">
        <v>2317.0</v>
      </c>
      <c r="P83" s="7">
        <f t="shared" si="2"/>
        <v>5113</v>
      </c>
      <c r="Q83" s="7">
        <f t="shared" si="3"/>
        <v>1155</v>
      </c>
      <c r="R83" s="8">
        <f t="shared" si="4"/>
        <v>22.5894778</v>
      </c>
      <c r="S83" s="7">
        <f t="shared" si="5"/>
        <v>0</v>
      </c>
      <c r="T83" s="7">
        <f t="shared" si="6"/>
        <v>0</v>
      </c>
      <c r="U83" s="9" t="str">
        <f t="shared" si="7"/>
        <v>#DIV/0!</v>
      </c>
      <c r="V83" s="7">
        <f t="shared" si="8"/>
        <v>2312</v>
      </c>
      <c r="W83" s="7">
        <f t="shared" si="9"/>
        <v>2312</v>
      </c>
      <c r="X83" s="6">
        <f t="shared" si="10"/>
        <v>1</v>
      </c>
      <c r="Y83" s="7">
        <f t="shared" ref="Y83:Z83" si="93">S83+V83</f>
        <v>2312</v>
      </c>
      <c r="Z83" s="7">
        <f t="shared" si="93"/>
        <v>2312</v>
      </c>
      <c r="AA83" s="6">
        <f t="shared" si="12"/>
        <v>1</v>
      </c>
      <c r="AB83" s="6">
        <f t="shared" si="13"/>
        <v>28.32292049</v>
      </c>
    </row>
    <row r="84">
      <c r="A84" s="6">
        <v>2024.0</v>
      </c>
      <c r="B84" s="6">
        <v>10.0</v>
      </c>
      <c r="C84" s="6">
        <v>18.0</v>
      </c>
      <c r="D84" s="6">
        <v>2.0</v>
      </c>
      <c r="E84" s="7">
        <v>11824.0</v>
      </c>
      <c r="F84" s="7">
        <v>22626.0</v>
      </c>
      <c r="G84" s="7">
        <v>1321.0</v>
      </c>
      <c r="H84" s="7">
        <v>1127.0</v>
      </c>
      <c r="I84" s="7">
        <v>1123.0</v>
      </c>
      <c r="J84" s="7">
        <v>214.0</v>
      </c>
      <c r="K84" s="7">
        <v>2501.0</v>
      </c>
      <c r="L84" s="7">
        <v>64.0</v>
      </c>
      <c r="M84" s="7">
        <v>2215.0</v>
      </c>
      <c r="N84" s="7">
        <v>68.0</v>
      </c>
      <c r="O84" s="7">
        <v>2204.0</v>
      </c>
      <c r="P84" s="7">
        <f t="shared" si="2"/>
        <v>11824</v>
      </c>
      <c r="Q84" s="7">
        <f t="shared" si="3"/>
        <v>1325</v>
      </c>
      <c r="R84" s="8">
        <f t="shared" si="4"/>
        <v>11.20602165</v>
      </c>
      <c r="S84" s="7">
        <f t="shared" si="5"/>
        <v>210</v>
      </c>
      <c r="T84" s="7">
        <f t="shared" si="6"/>
        <v>64</v>
      </c>
      <c r="U84" s="6">
        <f t="shared" si="7"/>
        <v>3.28125</v>
      </c>
      <c r="V84" s="7">
        <f t="shared" si="8"/>
        <v>2512</v>
      </c>
      <c r="W84" s="7">
        <f t="shared" si="9"/>
        <v>2215</v>
      </c>
      <c r="X84" s="6">
        <f t="shared" si="10"/>
        <v>1.134085779</v>
      </c>
      <c r="Y84" s="7">
        <f t="shared" ref="Y84:Z84" si="94">S84+V84</f>
        <v>2722</v>
      </c>
      <c r="Z84" s="7">
        <f t="shared" si="94"/>
        <v>2279</v>
      </c>
      <c r="AA84" s="6">
        <f t="shared" si="12"/>
        <v>1.194383502</v>
      </c>
      <c r="AB84" s="6">
        <f t="shared" si="13"/>
        <v>12.0304075</v>
      </c>
    </row>
    <row r="85">
      <c r="A85" s="6">
        <v>2024.0</v>
      </c>
      <c r="B85" s="6">
        <v>10.0</v>
      </c>
      <c r="C85" s="6">
        <v>18.0</v>
      </c>
      <c r="D85" s="6">
        <v>1.0</v>
      </c>
      <c r="E85" s="7">
        <v>11005.0</v>
      </c>
      <c r="F85" s="7">
        <v>17174.0</v>
      </c>
      <c r="G85" s="7">
        <v>4066.0</v>
      </c>
      <c r="H85" s="7">
        <v>4046.0</v>
      </c>
      <c r="I85" s="7">
        <v>4004.0</v>
      </c>
      <c r="J85" s="7">
        <v>0.0</v>
      </c>
      <c r="K85" s="7">
        <v>7929.0</v>
      </c>
      <c r="L85" s="7">
        <v>0.0</v>
      </c>
      <c r="M85" s="7">
        <v>7879.0</v>
      </c>
      <c r="N85" s="7">
        <v>0.0</v>
      </c>
      <c r="O85" s="7">
        <v>7805.0</v>
      </c>
      <c r="P85" s="7">
        <f t="shared" si="2"/>
        <v>11005</v>
      </c>
      <c r="Q85" s="7">
        <f t="shared" si="3"/>
        <v>4108</v>
      </c>
      <c r="R85" s="8">
        <f t="shared" si="4"/>
        <v>37.32848705</v>
      </c>
      <c r="S85" s="7">
        <f t="shared" si="5"/>
        <v>0</v>
      </c>
      <c r="T85" s="7">
        <f t="shared" si="6"/>
        <v>0</v>
      </c>
      <c r="U85" s="9" t="str">
        <f t="shared" si="7"/>
        <v>#DIV/0!</v>
      </c>
      <c r="V85" s="7">
        <f t="shared" si="8"/>
        <v>8003</v>
      </c>
      <c r="W85" s="7">
        <f t="shared" si="9"/>
        <v>7879</v>
      </c>
      <c r="X85" s="6">
        <f t="shared" si="10"/>
        <v>1.015738038</v>
      </c>
      <c r="Y85" s="7">
        <f t="shared" ref="Y85:Z85" si="95">S85+V85</f>
        <v>8003</v>
      </c>
      <c r="Z85" s="7">
        <f t="shared" si="95"/>
        <v>7879</v>
      </c>
      <c r="AA85" s="6">
        <f t="shared" si="12"/>
        <v>1.015738038</v>
      </c>
      <c r="AB85" s="6">
        <f t="shared" si="13"/>
        <v>46.59951089</v>
      </c>
    </row>
    <row r="86">
      <c r="A86" s="6">
        <v>2024.0</v>
      </c>
      <c r="B86" s="6">
        <v>10.0</v>
      </c>
      <c r="C86" s="6">
        <v>18.0</v>
      </c>
      <c r="D86" s="6">
        <v>2.0</v>
      </c>
      <c r="E86" s="7">
        <v>96257.0</v>
      </c>
      <c r="F86" s="7">
        <v>151902.0</v>
      </c>
      <c r="G86" s="7">
        <v>25828.0</v>
      </c>
      <c r="H86" s="7">
        <v>24496.0</v>
      </c>
      <c r="I86" s="7">
        <v>24366.0</v>
      </c>
      <c r="J86" s="7">
        <v>340.0</v>
      </c>
      <c r="K86" s="7">
        <v>49541.0</v>
      </c>
      <c r="L86" s="7">
        <v>84.0</v>
      </c>
      <c r="M86" s="7">
        <v>47352.0</v>
      </c>
      <c r="N86" s="7">
        <v>98.0</v>
      </c>
      <c r="O86" s="7">
        <v>47084.0</v>
      </c>
      <c r="P86" s="7">
        <f t="shared" si="2"/>
        <v>96257</v>
      </c>
      <c r="Q86" s="7">
        <f t="shared" si="3"/>
        <v>25958</v>
      </c>
      <c r="R86" s="8">
        <f t="shared" si="4"/>
        <v>26.96738938</v>
      </c>
      <c r="S86" s="7">
        <f t="shared" si="5"/>
        <v>326</v>
      </c>
      <c r="T86" s="7">
        <f t="shared" si="6"/>
        <v>84</v>
      </c>
      <c r="U86" s="6">
        <f t="shared" si="7"/>
        <v>3.880952381</v>
      </c>
      <c r="V86" s="7">
        <f t="shared" si="8"/>
        <v>49809</v>
      </c>
      <c r="W86" s="7">
        <f t="shared" si="9"/>
        <v>47352</v>
      </c>
      <c r="X86" s="6">
        <f t="shared" si="10"/>
        <v>1.051887988</v>
      </c>
      <c r="Y86" s="7">
        <f t="shared" ref="Y86:Z86" si="96">S86+V86</f>
        <v>50135</v>
      </c>
      <c r="Z86" s="7">
        <f t="shared" si="96"/>
        <v>47436</v>
      </c>
      <c r="AA86" s="6">
        <f t="shared" si="12"/>
        <v>1.056897715</v>
      </c>
      <c r="AB86" s="6">
        <f t="shared" si="13"/>
        <v>33.00483206</v>
      </c>
    </row>
    <row r="87">
      <c r="A87" s="6">
        <v>2024.0</v>
      </c>
      <c r="B87" s="6">
        <v>10.0</v>
      </c>
      <c r="C87" s="6">
        <v>18.0</v>
      </c>
      <c r="D87" s="6">
        <v>1.0</v>
      </c>
      <c r="E87" s="7">
        <v>50943.0</v>
      </c>
      <c r="F87" s="7">
        <v>78352.0</v>
      </c>
      <c r="G87" s="7">
        <v>23389.0</v>
      </c>
      <c r="H87" s="7">
        <v>20531.0</v>
      </c>
      <c r="I87" s="7">
        <v>20293.0</v>
      </c>
      <c r="J87" s="7">
        <v>146.0</v>
      </c>
      <c r="K87" s="7">
        <v>47260.0</v>
      </c>
      <c r="L87" s="7">
        <v>132.0</v>
      </c>
      <c r="M87" s="7">
        <v>38411.0</v>
      </c>
      <c r="N87" s="7">
        <v>133.0</v>
      </c>
      <c r="O87" s="7">
        <v>37746.0</v>
      </c>
      <c r="P87" s="7">
        <f t="shared" si="2"/>
        <v>50943</v>
      </c>
      <c r="Q87" s="7">
        <f t="shared" si="3"/>
        <v>23627</v>
      </c>
      <c r="R87" s="8">
        <f t="shared" si="4"/>
        <v>46.37928665</v>
      </c>
      <c r="S87" s="7">
        <f t="shared" si="5"/>
        <v>145</v>
      </c>
      <c r="T87" s="7">
        <f t="shared" si="6"/>
        <v>132</v>
      </c>
      <c r="U87" s="6">
        <f t="shared" si="7"/>
        <v>1.098484848</v>
      </c>
      <c r="V87" s="7">
        <f t="shared" si="8"/>
        <v>47925</v>
      </c>
      <c r="W87" s="7">
        <f t="shared" si="9"/>
        <v>38411</v>
      </c>
      <c r="X87" s="6">
        <f t="shared" si="10"/>
        <v>1.247689464</v>
      </c>
      <c r="Y87" s="7">
        <f t="shared" ref="Y87:Z87" si="97">S87+V87</f>
        <v>48070</v>
      </c>
      <c r="Z87" s="7">
        <f t="shared" si="97"/>
        <v>38543</v>
      </c>
      <c r="AA87" s="6">
        <f t="shared" si="12"/>
        <v>1.247178476</v>
      </c>
      <c r="AB87" s="6">
        <f t="shared" si="13"/>
        <v>61.35133755</v>
      </c>
    </row>
    <row r="88">
      <c r="A88" s="6">
        <v>2024.0</v>
      </c>
      <c r="B88" s="6">
        <v>10.0</v>
      </c>
      <c r="C88" s="6">
        <v>18.0</v>
      </c>
      <c r="D88" s="6">
        <v>2.0</v>
      </c>
      <c r="E88" s="7">
        <v>58387.0</v>
      </c>
      <c r="F88" s="7">
        <v>91113.0</v>
      </c>
      <c r="G88" s="7">
        <v>16448.0</v>
      </c>
      <c r="H88" s="7">
        <v>14436.0</v>
      </c>
      <c r="I88" s="7">
        <v>14354.0</v>
      </c>
      <c r="J88" s="7">
        <v>0.0</v>
      </c>
      <c r="K88" s="7">
        <v>30142.0</v>
      </c>
      <c r="L88" s="7">
        <v>14.0</v>
      </c>
      <c r="M88" s="7">
        <v>27885.0</v>
      </c>
      <c r="N88" s="7">
        <v>0.0</v>
      </c>
      <c r="O88" s="7">
        <v>27834.0</v>
      </c>
      <c r="P88" s="7">
        <f t="shared" si="2"/>
        <v>58387</v>
      </c>
      <c r="Q88" s="7">
        <f t="shared" si="3"/>
        <v>16530</v>
      </c>
      <c r="R88" s="8">
        <f t="shared" si="4"/>
        <v>28.31109665</v>
      </c>
      <c r="S88" s="7">
        <f t="shared" si="5"/>
        <v>14</v>
      </c>
      <c r="T88" s="7">
        <f t="shared" si="6"/>
        <v>14</v>
      </c>
      <c r="U88" s="6">
        <f t="shared" si="7"/>
        <v>1</v>
      </c>
      <c r="V88" s="7">
        <f t="shared" si="8"/>
        <v>30193</v>
      </c>
      <c r="W88" s="7">
        <f t="shared" si="9"/>
        <v>27885</v>
      </c>
      <c r="X88" s="6">
        <f t="shared" si="10"/>
        <v>1.082768514</v>
      </c>
      <c r="Y88" s="7">
        <f t="shared" ref="Y88:Z88" si="98">S88+V88</f>
        <v>30207</v>
      </c>
      <c r="Z88" s="7">
        <f t="shared" si="98"/>
        <v>27899</v>
      </c>
      <c r="AA88" s="6">
        <f t="shared" si="12"/>
        <v>1.082726979</v>
      </c>
      <c r="AB88" s="6">
        <f t="shared" si="13"/>
        <v>33.15333706</v>
      </c>
    </row>
    <row r="89">
      <c r="A89" s="6">
        <v>2024.0</v>
      </c>
      <c r="B89" s="6">
        <v>10.0</v>
      </c>
      <c r="C89" s="6">
        <v>18.0</v>
      </c>
      <c r="D89" s="6">
        <v>1.0</v>
      </c>
      <c r="E89" s="7">
        <v>42563.0</v>
      </c>
      <c r="F89" s="7">
        <v>63736.0</v>
      </c>
      <c r="G89" s="7">
        <v>23810.0</v>
      </c>
      <c r="H89" s="7">
        <v>17641.0</v>
      </c>
      <c r="I89" s="7">
        <v>17286.0</v>
      </c>
      <c r="J89" s="7">
        <v>893.0</v>
      </c>
      <c r="K89" s="7">
        <v>41738.0</v>
      </c>
      <c r="L89" s="7">
        <v>410.0</v>
      </c>
      <c r="M89" s="7">
        <v>32432.0</v>
      </c>
      <c r="N89" s="7">
        <v>404.0</v>
      </c>
      <c r="O89" s="7">
        <v>31722.0</v>
      </c>
      <c r="P89" s="7">
        <f t="shared" si="2"/>
        <v>42563</v>
      </c>
      <c r="Q89" s="7">
        <f t="shared" si="3"/>
        <v>24165</v>
      </c>
      <c r="R89" s="8">
        <f t="shared" si="4"/>
        <v>56.77466344</v>
      </c>
      <c r="S89" s="7">
        <f t="shared" si="5"/>
        <v>899</v>
      </c>
      <c r="T89" s="7">
        <f t="shared" si="6"/>
        <v>410</v>
      </c>
      <c r="U89" s="6">
        <f t="shared" si="7"/>
        <v>2.192682927</v>
      </c>
      <c r="V89" s="7">
        <f t="shared" si="8"/>
        <v>42448</v>
      </c>
      <c r="W89" s="7">
        <f t="shared" si="9"/>
        <v>32432</v>
      </c>
      <c r="X89" s="6">
        <f t="shared" si="10"/>
        <v>1.308830784</v>
      </c>
      <c r="Y89" s="7">
        <f t="shared" ref="Y89:Z89" si="99">S89+V89</f>
        <v>43347</v>
      </c>
      <c r="Z89" s="7">
        <f t="shared" si="99"/>
        <v>32842</v>
      </c>
      <c r="AA89" s="6">
        <f t="shared" si="12"/>
        <v>1.319864807</v>
      </c>
      <c r="AB89" s="6">
        <f t="shared" si="13"/>
        <v>68.0102297</v>
      </c>
    </row>
    <row r="90">
      <c r="A90" s="6">
        <v>2024.0</v>
      </c>
      <c r="B90" s="6">
        <v>10.0</v>
      </c>
      <c r="C90" s="6">
        <v>18.0</v>
      </c>
      <c r="D90" s="6">
        <v>2.0</v>
      </c>
      <c r="E90" s="7">
        <v>36746.0</v>
      </c>
      <c r="F90" s="7">
        <v>56100.0</v>
      </c>
      <c r="G90" s="7">
        <v>12368.0</v>
      </c>
      <c r="H90" s="7">
        <v>10733.0</v>
      </c>
      <c r="I90" s="7">
        <v>10570.0</v>
      </c>
      <c r="J90" s="7">
        <v>20.0</v>
      </c>
      <c r="K90" s="7">
        <v>23021.0</v>
      </c>
      <c r="L90" s="7">
        <v>7.0</v>
      </c>
      <c r="M90" s="7">
        <v>19830.0</v>
      </c>
      <c r="N90" s="7">
        <v>6.0</v>
      </c>
      <c r="O90" s="7">
        <v>19535.0</v>
      </c>
      <c r="P90" s="7">
        <f t="shared" si="2"/>
        <v>36746</v>
      </c>
      <c r="Q90" s="7">
        <f t="shared" si="3"/>
        <v>12531</v>
      </c>
      <c r="R90" s="8">
        <f t="shared" si="4"/>
        <v>34.10167093</v>
      </c>
      <c r="S90" s="7">
        <f t="shared" si="5"/>
        <v>21</v>
      </c>
      <c r="T90" s="7">
        <f t="shared" si="6"/>
        <v>7</v>
      </c>
      <c r="U90" s="6">
        <f t="shared" si="7"/>
        <v>3</v>
      </c>
      <c r="V90" s="7">
        <f t="shared" si="8"/>
        <v>23316</v>
      </c>
      <c r="W90" s="7">
        <f t="shared" si="9"/>
        <v>19830</v>
      </c>
      <c r="X90" s="6">
        <f t="shared" si="10"/>
        <v>1.175794251</v>
      </c>
      <c r="Y90" s="7">
        <f t="shared" ref="Y90:Z90" si="100">S90+V90</f>
        <v>23337</v>
      </c>
      <c r="Z90" s="7">
        <f t="shared" si="100"/>
        <v>19837</v>
      </c>
      <c r="AA90" s="6">
        <f t="shared" si="12"/>
        <v>1.176437969</v>
      </c>
      <c r="AB90" s="6">
        <f t="shared" si="13"/>
        <v>41.59893048</v>
      </c>
    </row>
    <row r="91">
      <c r="A91" s="6">
        <v>2024.0</v>
      </c>
      <c r="B91" s="6">
        <v>10.0</v>
      </c>
      <c r="C91" s="6">
        <v>18.0</v>
      </c>
      <c r="D91" s="6">
        <v>1.0</v>
      </c>
      <c r="E91" s="7">
        <v>10354.0</v>
      </c>
      <c r="F91" s="7">
        <v>13950.0</v>
      </c>
      <c r="G91" s="7">
        <v>6949.0</v>
      </c>
      <c r="H91" s="7">
        <v>3484.0</v>
      </c>
      <c r="I91" s="7">
        <v>3340.0</v>
      </c>
      <c r="J91" s="7">
        <v>0.0</v>
      </c>
      <c r="K91" s="7">
        <v>6439.0</v>
      </c>
      <c r="L91" s="7">
        <v>0.0</v>
      </c>
      <c r="M91" s="7">
        <v>6553.0</v>
      </c>
      <c r="N91" s="7">
        <v>0.0</v>
      </c>
      <c r="O91" s="7">
        <v>6439.0</v>
      </c>
      <c r="P91" s="7">
        <f t="shared" si="2"/>
        <v>10354</v>
      </c>
      <c r="Q91" s="7">
        <f t="shared" si="3"/>
        <v>7093</v>
      </c>
      <c r="R91" s="8">
        <f t="shared" si="4"/>
        <v>68.50492563</v>
      </c>
      <c r="S91" s="7">
        <f t="shared" si="5"/>
        <v>0</v>
      </c>
      <c r="T91" s="7">
        <f t="shared" si="6"/>
        <v>0</v>
      </c>
      <c r="U91" s="9" t="str">
        <f t="shared" si="7"/>
        <v>#DIV/0!</v>
      </c>
      <c r="V91" s="7">
        <f t="shared" si="8"/>
        <v>6553</v>
      </c>
      <c r="W91" s="7">
        <f t="shared" si="9"/>
        <v>6553</v>
      </c>
      <c r="X91" s="6">
        <f t="shared" si="10"/>
        <v>1</v>
      </c>
      <c r="Y91" s="7">
        <f t="shared" ref="Y91:Z91" si="101">S91+V91</f>
        <v>6553</v>
      </c>
      <c r="Z91" s="7">
        <f t="shared" si="101"/>
        <v>6553</v>
      </c>
      <c r="AA91" s="6">
        <f t="shared" si="12"/>
        <v>1</v>
      </c>
      <c r="AB91" s="6">
        <f t="shared" si="13"/>
        <v>46.97491039</v>
      </c>
    </row>
    <row r="92">
      <c r="A92" s="6">
        <v>2024.0</v>
      </c>
      <c r="B92" s="6">
        <v>11.0</v>
      </c>
      <c r="C92" s="6">
        <v>18.0</v>
      </c>
      <c r="D92" s="6">
        <v>1.0</v>
      </c>
      <c r="E92" s="7">
        <v>4951.0</v>
      </c>
      <c r="F92" s="7">
        <v>8738.0</v>
      </c>
      <c r="G92" s="7">
        <v>1774.0</v>
      </c>
      <c r="H92" s="7">
        <v>1611.0</v>
      </c>
      <c r="I92" s="7">
        <v>1583.0</v>
      </c>
      <c r="J92" s="7">
        <v>0.0</v>
      </c>
      <c r="K92" s="7">
        <v>3549.0</v>
      </c>
      <c r="L92" s="7">
        <v>0.0</v>
      </c>
      <c r="M92" s="7">
        <v>3221.0</v>
      </c>
      <c r="N92" s="7">
        <v>0.0</v>
      </c>
      <c r="O92" s="7">
        <v>3166.0</v>
      </c>
      <c r="P92" s="7">
        <f t="shared" si="2"/>
        <v>4951</v>
      </c>
      <c r="Q92" s="7">
        <f t="shared" si="3"/>
        <v>1802</v>
      </c>
      <c r="R92" s="8">
        <f t="shared" si="4"/>
        <v>36.39668754</v>
      </c>
      <c r="S92" s="7">
        <f t="shared" si="5"/>
        <v>0</v>
      </c>
      <c r="T92" s="7">
        <f t="shared" si="6"/>
        <v>0</v>
      </c>
      <c r="U92" s="9" t="str">
        <f t="shared" si="7"/>
        <v>#DIV/0!</v>
      </c>
      <c r="V92" s="7">
        <f t="shared" si="8"/>
        <v>3604</v>
      </c>
      <c r="W92" s="7">
        <f t="shared" si="9"/>
        <v>3221</v>
      </c>
      <c r="X92" s="6">
        <f t="shared" si="10"/>
        <v>1.118907172</v>
      </c>
      <c r="Y92" s="7">
        <f t="shared" ref="Y92:Z92" si="102">S92+V92</f>
        <v>3604</v>
      </c>
      <c r="Z92" s="7">
        <f t="shared" si="102"/>
        <v>3221</v>
      </c>
      <c r="AA92" s="6">
        <f t="shared" si="12"/>
        <v>1.118907172</v>
      </c>
      <c r="AB92" s="6">
        <f t="shared" si="13"/>
        <v>41.24513619</v>
      </c>
    </row>
    <row r="93">
      <c r="A93" s="6">
        <v>2024.0</v>
      </c>
      <c r="B93" s="6">
        <v>11.0</v>
      </c>
      <c r="C93" s="6">
        <v>18.0</v>
      </c>
      <c r="D93" s="6">
        <v>2.0</v>
      </c>
      <c r="E93" s="7">
        <v>11442.0</v>
      </c>
      <c r="F93" s="7">
        <v>22191.0</v>
      </c>
      <c r="G93" s="7">
        <v>1037.0</v>
      </c>
      <c r="H93" s="7">
        <v>878.0</v>
      </c>
      <c r="I93" s="7">
        <v>876.0</v>
      </c>
      <c r="J93" s="7">
        <v>248.0</v>
      </c>
      <c r="K93" s="7">
        <v>1973.0</v>
      </c>
      <c r="L93" s="7">
        <v>32.0</v>
      </c>
      <c r="M93" s="7">
        <v>1691.0</v>
      </c>
      <c r="N93" s="7">
        <v>32.0</v>
      </c>
      <c r="O93" s="7">
        <v>1701.0</v>
      </c>
      <c r="P93" s="7">
        <f t="shared" si="2"/>
        <v>11442</v>
      </c>
      <c r="Q93" s="7">
        <f t="shared" si="3"/>
        <v>1039</v>
      </c>
      <c r="R93" s="8">
        <f t="shared" si="4"/>
        <v>9.080580318</v>
      </c>
      <c r="S93" s="7">
        <f t="shared" si="5"/>
        <v>248</v>
      </c>
      <c r="T93" s="7">
        <f t="shared" si="6"/>
        <v>32</v>
      </c>
      <c r="U93" s="6">
        <f t="shared" si="7"/>
        <v>7.75</v>
      </c>
      <c r="V93" s="7">
        <f t="shared" si="8"/>
        <v>1963</v>
      </c>
      <c r="W93" s="7">
        <f t="shared" si="9"/>
        <v>1691</v>
      </c>
      <c r="X93" s="6">
        <f t="shared" si="10"/>
        <v>1.160851567</v>
      </c>
      <c r="Y93" s="7">
        <f t="shared" ref="Y93:Z93" si="103">S93+V93</f>
        <v>2211</v>
      </c>
      <c r="Z93" s="7">
        <f t="shared" si="103"/>
        <v>1723</v>
      </c>
      <c r="AA93" s="6">
        <f t="shared" si="12"/>
        <v>1.28322693</v>
      </c>
      <c r="AB93" s="6">
        <f t="shared" si="13"/>
        <v>9.963498716</v>
      </c>
    </row>
    <row r="94">
      <c r="A94" s="6">
        <v>2024.0</v>
      </c>
      <c r="B94" s="6">
        <v>11.0</v>
      </c>
      <c r="C94" s="6">
        <v>18.0</v>
      </c>
      <c r="D94" s="6">
        <v>1.0</v>
      </c>
      <c r="E94" s="7">
        <v>14790.0</v>
      </c>
      <c r="F94" s="7">
        <v>23280.0</v>
      </c>
      <c r="G94" s="7">
        <v>6404.0</v>
      </c>
      <c r="H94" s="7">
        <v>5887.0</v>
      </c>
      <c r="I94" s="7">
        <v>5825.0</v>
      </c>
      <c r="J94" s="7">
        <v>0.0</v>
      </c>
      <c r="K94" s="7">
        <v>12186.0</v>
      </c>
      <c r="L94" s="7">
        <v>0.0</v>
      </c>
      <c r="M94" s="7">
        <v>11315.0</v>
      </c>
      <c r="N94" s="7">
        <v>0.0</v>
      </c>
      <c r="O94" s="7">
        <v>11234.0</v>
      </c>
      <c r="P94" s="7">
        <f t="shared" si="2"/>
        <v>14790</v>
      </c>
      <c r="Q94" s="7">
        <f t="shared" si="3"/>
        <v>6466</v>
      </c>
      <c r="R94" s="8">
        <f t="shared" si="4"/>
        <v>43.71872887</v>
      </c>
      <c r="S94" s="7">
        <f t="shared" si="5"/>
        <v>0</v>
      </c>
      <c r="T94" s="7">
        <f t="shared" si="6"/>
        <v>0</v>
      </c>
      <c r="U94" s="9" t="str">
        <f t="shared" si="7"/>
        <v>#DIV/0!</v>
      </c>
      <c r="V94" s="7">
        <f t="shared" si="8"/>
        <v>12267</v>
      </c>
      <c r="W94" s="7">
        <f t="shared" si="9"/>
        <v>11315</v>
      </c>
      <c r="X94" s="6">
        <f t="shared" si="10"/>
        <v>1.084136103</v>
      </c>
      <c r="Y94" s="7">
        <f t="shared" ref="Y94:Z94" si="104">S94+V94</f>
        <v>12267</v>
      </c>
      <c r="Z94" s="7">
        <f t="shared" si="104"/>
        <v>11315</v>
      </c>
      <c r="AA94" s="6">
        <f t="shared" si="12"/>
        <v>1.084136103</v>
      </c>
      <c r="AB94" s="6">
        <f t="shared" si="13"/>
        <v>52.69329897</v>
      </c>
    </row>
    <row r="95">
      <c r="A95" s="6">
        <v>2024.0</v>
      </c>
      <c r="B95" s="6">
        <v>11.0</v>
      </c>
      <c r="C95" s="6">
        <v>18.0</v>
      </c>
      <c r="D95" s="6">
        <v>2.0</v>
      </c>
      <c r="E95" s="7">
        <v>93344.0</v>
      </c>
      <c r="F95" s="7">
        <v>156623.0</v>
      </c>
      <c r="G95" s="7">
        <v>26273.0</v>
      </c>
      <c r="H95" s="7">
        <v>24445.0</v>
      </c>
      <c r="I95" s="7">
        <v>24349.0</v>
      </c>
      <c r="J95" s="7">
        <v>132.0</v>
      </c>
      <c r="K95" s="7">
        <v>50919.0</v>
      </c>
      <c r="L95" s="7">
        <v>30.0</v>
      </c>
      <c r="M95" s="7">
        <v>47459.0</v>
      </c>
      <c r="N95" s="7">
        <v>30.0</v>
      </c>
      <c r="O95" s="7">
        <v>47231.0</v>
      </c>
      <c r="P95" s="7">
        <f t="shared" si="2"/>
        <v>93344</v>
      </c>
      <c r="Q95" s="7">
        <f t="shared" si="3"/>
        <v>26369</v>
      </c>
      <c r="R95" s="8">
        <f t="shared" si="4"/>
        <v>28.24927151</v>
      </c>
      <c r="S95" s="7">
        <f t="shared" si="5"/>
        <v>132</v>
      </c>
      <c r="T95" s="7">
        <f t="shared" si="6"/>
        <v>30</v>
      </c>
      <c r="U95" s="6">
        <f t="shared" si="7"/>
        <v>4.4</v>
      </c>
      <c r="V95" s="7">
        <f t="shared" si="8"/>
        <v>51147</v>
      </c>
      <c r="W95" s="7">
        <f t="shared" si="9"/>
        <v>47459</v>
      </c>
      <c r="X95" s="6">
        <f t="shared" si="10"/>
        <v>1.077709181</v>
      </c>
      <c r="Y95" s="7">
        <f t="shared" ref="Y95:Z95" si="105">S95+V95</f>
        <v>51279</v>
      </c>
      <c r="Z95" s="7">
        <f t="shared" si="105"/>
        <v>47489</v>
      </c>
      <c r="AA95" s="6">
        <f t="shared" si="12"/>
        <v>1.079807956</v>
      </c>
      <c r="AB95" s="6">
        <f t="shared" si="13"/>
        <v>32.74040211</v>
      </c>
    </row>
    <row r="96">
      <c r="A96" s="6">
        <v>2024.0</v>
      </c>
      <c r="B96" s="6">
        <v>11.0</v>
      </c>
      <c r="C96" s="6">
        <v>18.0</v>
      </c>
      <c r="D96" s="6">
        <v>1.0</v>
      </c>
      <c r="E96" s="7">
        <v>51086.0</v>
      </c>
      <c r="F96" s="7">
        <v>81765.0</v>
      </c>
      <c r="G96" s="7">
        <v>27238.0</v>
      </c>
      <c r="H96" s="7">
        <v>22166.0</v>
      </c>
      <c r="I96" s="7">
        <v>22218.0</v>
      </c>
      <c r="J96" s="7">
        <v>81.0</v>
      </c>
      <c r="K96" s="7">
        <v>52755.0</v>
      </c>
      <c r="L96" s="7">
        <v>58.0</v>
      </c>
      <c r="M96" s="7">
        <v>41220.0</v>
      </c>
      <c r="N96" s="7">
        <v>59.0</v>
      </c>
      <c r="O96" s="7">
        <v>41478.0</v>
      </c>
      <c r="P96" s="7">
        <f t="shared" si="2"/>
        <v>51086</v>
      </c>
      <c r="Q96" s="7">
        <f t="shared" si="3"/>
        <v>27186</v>
      </c>
      <c r="R96" s="8">
        <f t="shared" si="4"/>
        <v>53.21614532</v>
      </c>
      <c r="S96" s="7">
        <f t="shared" si="5"/>
        <v>80</v>
      </c>
      <c r="T96" s="7">
        <f t="shared" si="6"/>
        <v>58</v>
      </c>
      <c r="U96" s="6">
        <f t="shared" si="7"/>
        <v>1.379310345</v>
      </c>
      <c r="V96" s="7">
        <f t="shared" si="8"/>
        <v>52497</v>
      </c>
      <c r="W96" s="7">
        <f t="shared" si="9"/>
        <v>41220</v>
      </c>
      <c r="X96" s="6">
        <f t="shared" si="10"/>
        <v>1.273580786</v>
      </c>
      <c r="Y96" s="7">
        <f t="shared" ref="Y96:Z96" si="106">S96+V96</f>
        <v>52577</v>
      </c>
      <c r="Z96" s="7">
        <f t="shared" si="106"/>
        <v>41278</v>
      </c>
      <c r="AA96" s="6">
        <f t="shared" si="12"/>
        <v>1.273729347</v>
      </c>
      <c r="AB96" s="6">
        <f t="shared" si="13"/>
        <v>64.30257445</v>
      </c>
    </row>
    <row r="97">
      <c r="A97" s="6">
        <v>2024.0</v>
      </c>
      <c r="B97" s="6">
        <v>11.0</v>
      </c>
      <c r="C97" s="6">
        <v>18.0</v>
      </c>
      <c r="D97" s="6">
        <v>2.0</v>
      </c>
      <c r="E97" s="7">
        <v>55344.0</v>
      </c>
      <c r="F97" s="7">
        <v>87121.0</v>
      </c>
      <c r="G97" s="7">
        <v>15222.0</v>
      </c>
      <c r="H97" s="7">
        <v>14208.0</v>
      </c>
      <c r="I97" s="7">
        <v>14158.0</v>
      </c>
      <c r="J97" s="7">
        <v>0.0</v>
      </c>
      <c r="K97" s="7">
        <v>29486.0</v>
      </c>
      <c r="L97" s="7">
        <v>0.0</v>
      </c>
      <c r="M97" s="7">
        <v>27401.0</v>
      </c>
      <c r="N97" s="7">
        <v>0.0</v>
      </c>
      <c r="O97" s="7">
        <v>27376.0</v>
      </c>
      <c r="P97" s="7">
        <f t="shared" si="2"/>
        <v>55344</v>
      </c>
      <c r="Q97" s="7">
        <f t="shared" si="3"/>
        <v>15272</v>
      </c>
      <c r="R97" s="8">
        <f t="shared" si="4"/>
        <v>27.59468054</v>
      </c>
      <c r="S97" s="7">
        <f t="shared" si="5"/>
        <v>0</v>
      </c>
      <c r="T97" s="7">
        <f t="shared" si="6"/>
        <v>0</v>
      </c>
      <c r="U97" s="9" t="str">
        <f t="shared" si="7"/>
        <v>#DIV/0!</v>
      </c>
      <c r="V97" s="7">
        <f t="shared" si="8"/>
        <v>29511</v>
      </c>
      <c r="W97" s="7">
        <f t="shared" si="9"/>
        <v>27401</v>
      </c>
      <c r="X97" s="6">
        <f t="shared" si="10"/>
        <v>1.077004489</v>
      </c>
      <c r="Y97" s="7">
        <f t="shared" ref="Y97:Z97" si="107">S97+V97</f>
        <v>29511</v>
      </c>
      <c r="Z97" s="7">
        <f t="shared" si="107"/>
        <v>27401</v>
      </c>
      <c r="AA97" s="6">
        <f t="shared" si="12"/>
        <v>1.077004489</v>
      </c>
      <c r="AB97" s="6">
        <f t="shared" si="13"/>
        <v>33.87357813</v>
      </c>
    </row>
    <row r="98">
      <c r="A98" s="6">
        <v>2024.0</v>
      </c>
      <c r="B98" s="6">
        <v>11.0</v>
      </c>
      <c r="C98" s="6">
        <v>18.0</v>
      </c>
      <c r="D98" s="6">
        <v>1.0</v>
      </c>
      <c r="E98" s="7">
        <v>41190.0</v>
      </c>
      <c r="F98" s="7">
        <v>68940.0</v>
      </c>
      <c r="G98" s="7">
        <v>22784.0</v>
      </c>
      <c r="H98" s="7">
        <v>16783.0</v>
      </c>
      <c r="I98" s="7">
        <v>16795.0</v>
      </c>
      <c r="J98" s="7">
        <v>807.0</v>
      </c>
      <c r="K98" s="7">
        <v>40708.0</v>
      </c>
      <c r="L98" s="7">
        <v>333.0</v>
      </c>
      <c r="M98" s="7">
        <v>30890.0</v>
      </c>
      <c r="N98" s="7">
        <v>354.0</v>
      </c>
      <c r="O98" s="7">
        <v>30889.0</v>
      </c>
      <c r="P98" s="7">
        <f t="shared" si="2"/>
        <v>41190</v>
      </c>
      <c r="Q98" s="7">
        <f t="shared" si="3"/>
        <v>22772</v>
      </c>
      <c r="R98" s="8">
        <f t="shared" si="4"/>
        <v>55.28526341</v>
      </c>
      <c r="S98" s="7">
        <f t="shared" si="5"/>
        <v>786</v>
      </c>
      <c r="T98" s="7">
        <f t="shared" si="6"/>
        <v>333</v>
      </c>
      <c r="U98" s="6">
        <f t="shared" si="7"/>
        <v>2.36036036</v>
      </c>
      <c r="V98" s="7">
        <f t="shared" si="8"/>
        <v>40709</v>
      </c>
      <c r="W98" s="7">
        <f t="shared" si="9"/>
        <v>30890</v>
      </c>
      <c r="X98" s="6">
        <f t="shared" si="10"/>
        <v>1.317869861</v>
      </c>
      <c r="Y98" s="7">
        <f t="shared" ref="Y98:Z98" si="108">S98+V98</f>
        <v>41495</v>
      </c>
      <c r="Z98" s="7">
        <f t="shared" si="108"/>
        <v>31223</v>
      </c>
      <c r="AA98" s="6">
        <f t="shared" si="12"/>
        <v>1.328988246</v>
      </c>
      <c r="AB98" s="6">
        <f t="shared" si="13"/>
        <v>60.19002031</v>
      </c>
    </row>
    <row r="99">
      <c r="A99" s="6">
        <v>2024.0</v>
      </c>
      <c r="B99" s="6">
        <v>11.0</v>
      </c>
      <c r="C99" s="6">
        <v>18.0</v>
      </c>
      <c r="D99" s="6">
        <v>2.0</v>
      </c>
      <c r="E99" s="7">
        <v>35403.0</v>
      </c>
      <c r="F99" s="7">
        <v>53006.0</v>
      </c>
      <c r="G99" s="7">
        <v>11955.0</v>
      </c>
      <c r="H99" s="7">
        <v>9741.0</v>
      </c>
      <c r="I99" s="7">
        <v>9721.0</v>
      </c>
      <c r="J99" s="7">
        <v>15.0</v>
      </c>
      <c r="K99" s="7">
        <v>21267.0</v>
      </c>
      <c r="L99" s="7">
        <v>7.0</v>
      </c>
      <c r="M99" s="7">
        <v>17538.0</v>
      </c>
      <c r="N99" s="7">
        <v>7.0</v>
      </c>
      <c r="O99" s="7">
        <v>17554.0</v>
      </c>
      <c r="P99" s="7">
        <f t="shared" si="2"/>
        <v>35403</v>
      </c>
      <c r="Q99" s="7">
        <f t="shared" si="3"/>
        <v>11975</v>
      </c>
      <c r="R99" s="8">
        <f t="shared" si="4"/>
        <v>33.82481711</v>
      </c>
      <c r="S99" s="7">
        <f t="shared" si="5"/>
        <v>15</v>
      </c>
      <c r="T99" s="7">
        <f t="shared" si="6"/>
        <v>7</v>
      </c>
      <c r="U99" s="6">
        <f t="shared" si="7"/>
        <v>2.142857143</v>
      </c>
      <c r="V99" s="7">
        <f t="shared" si="8"/>
        <v>21251</v>
      </c>
      <c r="W99" s="7">
        <f t="shared" si="9"/>
        <v>17538</v>
      </c>
      <c r="X99" s="6">
        <f t="shared" si="10"/>
        <v>1.211711712</v>
      </c>
      <c r="Y99" s="7">
        <f t="shared" ref="Y99:Z99" si="109">S99+V99</f>
        <v>21266</v>
      </c>
      <c r="Z99" s="7">
        <f t="shared" si="109"/>
        <v>17545</v>
      </c>
      <c r="AA99" s="6">
        <f t="shared" si="12"/>
        <v>1.212083215</v>
      </c>
      <c r="AB99" s="6">
        <f t="shared" si="13"/>
        <v>40.11998642</v>
      </c>
    </row>
    <row r="100">
      <c r="A100" s="6">
        <v>2024.0</v>
      </c>
      <c r="B100" s="6">
        <v>11.0</v>
      </c>
      <c r="C100" s="6">
        <v>18.0</v>
      </c>
      <c r="D100" s="6">
        <v>1.0</v>
      </c>
      <c r="E100" s="7">
        <v>10020.0</v>
      </c>
      <c r="F100" s="7">
        <v>13500.0</v>
      </c>
      <c r="G100" s="7">
        <v>4581.0</v>
      </c>
      <c r="H100" s="7">
        <v>4511.0</v>
      </c>
      <c r="I100" s="7">
        <v>4581.0</v>
      </c>
      <c r="J100" s="7">
        <v>0.0</v>
      </c>
      <c r="K100" s="7">
        <v>8576.0</v>
      </c>
      <c r="L100" s="7">
        <v>0.0</v>
      </c>
      <c r="M100" s="7">
        <v>8608.0</v>
      </c>
      <c r="N100" s="7">
        <v>0.0</v>
      </c>
      <c r="O100" s="7">
        <v>8576.0</v>
      </c>
      <c r="P100" s="7">
        <f t="shared" si="2"/>
        <v>10020</v>
      </c>
      <c r="Q100" s="7">
        <f t="shared" si="3"/>
        <v>4511</v>
      </c>
      <c r="R100" s="8">
        <f t="shared" si="4"/>
        <v>45.01996008</v>
      </c>
      <c r="S100" s="7">
        <f t="shared" si="5"/>
        <v>0</v>
      </c>
      <c r="T100" s="7">
        <f t="shared" si="6"/>
        <v>0</v>
      </c>
      <c r="U100" s="9" t="str">
        <f t="shared" si="7"/>
        <v>#DIV/0!</v>
      </c>
      <c r="V100" s="7">
        <f t="shared" si="8"/>
        <v>8608</v>
      </c>
      <c r="W100" s="7">
        <f t="shared" si="9"/>
        <v>8608</v>
      </c>
      <c r="X100" s="6">
        <f t="shared" si="10"/>
        <v>1</v>
      </c>
      <c r="Y100" s="7">
        <f t="shared" ref="Y100:Z100" si="110">S100+V100</f>
        <v>8608</v>
      </c>
      <c r="Z100" s="7">
        <f t="shared" si="110"/>
        <v>8608</v>
      </c>
      <c r="AA100" s="6">
        <f t="shared" si="12"/>
        <v>1</v>
      </c>
      <c r="AB100" s="6">
        <f t="shared" si="13"/>
        <v>63.76296296</v>
      </c>
    </row>
    <row r="101">
      <c r="A101" s="6">
        <v>2024.0</v>
      </c>
      <c r="B101" s="6">
        <v>12.0</v>
      </c>
      <c r="C101" s="6">
        <v>18.0</v>
      </c>
      <c r="D101" s="6">
        <v>1.0</v>
      </c>
      <c r="E101" s="7">
        <v>5037.0</v>
      </c>
      <c r="F101" s="7">
        <v>10074.0</v>
      </c>
      <c r="G101" s="7">
        <v>2019.0</v>
      </c>
      <c r="H101" s="7">
        <v>1729.0</v>
      </c>
      <c r="I101" s="7">
        <v>1674.0</v>
      </c>
      <c r="J101" s="7">
        <v>0.0</v>
      </c>
      <c r="K101" s="7">
        <v>4038.0</v>
      </c>
      <c r="L101" s="7">
        <v>0.0</v>
      </c>
      <c r="M101" s="7">
        <v>3460.0</v>
      </c>
      <c r="N101" s="7">
        <v>0.0</v>
      </c>
      <c r="O101" s="7">
        <v>3348.0</v>
      </c>
      <c r="P101" s="7">
        <f t="shared" si="2"/>
        <v>5037</v>
      </c>
      <c r="Q101" s="7">
        <f t="shared" si="3"/>
        <v>2074</v>
      </c>
      <c r="R101" s="8">
        <f t="shared" si="4"/>
        <v>41.17530276</v>
      </c>
      <c r="S101" s="7">
        <f t="shared" si="5"/>
        <v>0</v>
      </c>
      <c r="T101" s="7">
        <f t="shared" si="6"/>
        <v>0</v>
      </c>
      <c r="U101" s="9" t="str">
        <f t="shared" si="7"/>
        <v>#DIV/0!</v>
      </c>
      <c r="V101" s="7">
        <f t="shared" si="8"/>
        <v>4150</v>
      </c>
      <c r="W101" s="7">
        <f t="shared" si="9"/>
        <v>3460</v>
      </c>
      <c r="X101" s="6">
        <f t="shared" si="10"/>
        <v>1.199421965</v>
      </c>
      <c r="Y101" s="7">
        <f t="shared" ref="Y101:Z101" si="111">S101+V101</f>
        <v>4150</v>
      </c>
      <c r="Z101" s="7">
        <f t="shared" si="111"/>
        <v>3460</v>
      </c>
      <c r="AA101" s="6">
        <f t="shared" si="12"/>
        <v>1.199421965</v>
      </c>
      <c r="AB101" s="6">
        <f t="shared" si="13"/>
        <v>41.19515585</v>
      </c>
    </row>
    <row r="102">
      <c r="A102" s="6">
        <v>2024.0</v>
      </c>
      <c r="B102" s="6">
        <v>12.0</v>
      </c>
      <c r="C102" s="6">
        <v>18.0</v>
      </c>
      <c r="D102" s="6">
        <v>2.0</v>
      </c>
      <c r="E102" s="7">
        <v>11824.0</v>
      </c>
      <c r="F102" s="7">
        <v>23794.0</v>
      </c>
      <c r="G102" s="7">
        <v>1639.0</v>
      </c>
      <c r="H102" s="7">
        <v>1471.0</v>
      </c>
      <c r="I102" s="7">
        <v>1430.0</v>
      </c>
      <c r="J102" s="7">
        <v>104.0</v>
      </c>
      <c r="K102" s="7">
        <v>3471.0</v>
      </c>
      <c r="L102" s="7">
        <v>24.0</v>
      </c>
      <c r="M102" s="7">
        <v>2917.0</v>
      </c>
      <c r="N102" s="7">
        <v>24.0</v>
      </c>
      <c r="O102" s="7">
        <v>2790.0</v>
      </c>
      <c r="P102" s="7">
        <f t="shared" si="2"/>
        <v>11824</v>
      </c>
      <c r="Q102" s="7">
        <f t="shared" si="3"/>
        <v>1680</v>
      </c>
      <c r="R102" s="8">
        <f t="shared" si="4"/>
        <v>14.20838972</v>
      </c>
      <c r="S102" s="7">
        <f t="shared" si="5"/>
        <v>104</v>
      </c>
      <c r="T102" s="7">
        <f t="shared" si="6"/>
        <v>24</v>
      </c>
      <c r="U102" s="6">
        <f t="shared" si="7"/>
        <v>4.333333333</v>
      </c>
      <c r="V102" s="7">
        <f t="shared" si="8"/>
        <v>3598</v>
      </c>
      <c r="W102" s="7">
        <f t="shared" si="9"/>
        <v>2917</v>
      </c>
      <c r="X102" s="6">
        <f t="shared" si="10"/>
        <v>1.233459033</v>
      </c>
      <c r="Y102" s="7">
        <f t="shared" ref="Y102:Z102" si="112">S102+V102</f>
        <v>3702</v>
      </c>
      <c r="Z102" s="7">
        <f t="shared" si="112"/>
        <v>2941</v>
      </c>
      <c r="AA102" s="6">
        <f t="shared" si="12"/>
        <v>1.258755525</v>
      </c>
      <c r="AB102" s="6">
        <f t="shared" si="13"/>
        <v>15.55854417</v>
      </c>
    </row>
    <row r="103">
      <c r="A103" s="6">
        <v>2024.0</v>
      </c>
      <c r="B103" s="6">
        <v>12.0</v>
      </c>
      <c r="C103" s="6">
        <v>18.0</v>
      </c>
      <c r="D103" s="6">
        <v>1.0</v>
      </c>
      <c r="E103" s="7">
        <v>16213.0</v>
      </c>
      <c r="F103" s="7">
        <v>25916.0</v>
      </c>
      <c r="G103" s="7">
        <v>7863.0</v>
      </c>
      <c r="H103" s="7">
        <v>7306.0</v>
      </c>
      <c r="I103" s="7">
        <v>7170.0</v>
      </c>
      <c r="J103" s="7">
        <v>12.0</v>
      </c>
      <c r="K103" s="7">
        <v>14797.0</v>
      </c>
      <c r="L103" s="7">
        <v>4.0</v>
      </c>
      <c r="M103" s="7">
        <v>13901.0</v>
      </c>
      <c r="N103" s="7">
        <v>4.0</v>
      </c>
      <c r="O103" s="7">
        <v>13647.0</v>
      </c>
      <c r="P103" s="7">
        <f t="shared" si="2"/>
        <v>16213</v>
      </c>
      <c r="Q103" s="7">
        <f t="shared" si="3"/>
        <v>7999</v>
      </c>
      <c r="R103" s="8">
        <f t="shared" si="4"/>
        <v>49.33695183</v>
      </c>
      <c r="S103" s="7">
        <f t="shared" si="5"/>
        <v>12</v>
      </c>
      <c r="T103" s="7">
        <f t="shared" si="6"/>
        <v>4</v>
      </c>
      <c r="U103" s="6">
        <f t="shared" si="7"/>
        <v>3</v>
      </c>
      <c r="V103" s="7">
        <f t="shared" si="8"/>
        <v>15051</v>
      </c>
      <c r="W103" s="7">
        <f t="shared" si="9"/>
        <v>13901</v>
      </c>
      <c r="X103" s="6">
        <f t="shared" si="10"/>
        <v>1.082727861</v>
      </c>
      <c r="Y103" s="7">
        <f t="shared" ref="Y103:Z103" si="113">S103+V103</f>
        <v>15063</v>
      </c>
      <c r="Z103" s="7">
        <f t="shared" si="113"/>
        <v>13905</v>
      </c>
      <c r="AA103" s="6">
        <f t="shared" si="12"/>
        <v>1.083279396</v>
      </c>
      <c r="AB103" s="6">
        <f t="shared" si="13"/>
        <v>58.12239543</v>
      </c>
    </row>
    <row r="104">
      <c r="A104" s="6">
        <v>2024.0</v>
      </c>
      <c r="B104" s="6">
        <v>12.0</v>
      </c>
      <c r="C104" s="6">
        <v>18.0</v>
      </c>
      <c r="D104" s="6">
        <v>2.0</v>
      </c>
      <c r="E104" s="7">
        <v>97213.0</v>
      </c>
      <c r="F104" s="7">
        <v>167902.0</v>
      </c>
      <c r="G104" s="7">
        <v>30074.0</v>
      </c>
      <c r="H104" s="7">
        <v>29220.0</v>
      </c>
      <c r="I104" s="7">
        <v>28560.0</v>
      </c>
      <c r="J104" s="7">
        <v>98.0</v>
      </c>
      <c r="K104" s="7">
        <v>58420.0</v>
      </c>
      <c r="L104" s="7">
        <v>24.0</v>
      </c>
      <c r="M104" s="7">
        <v>57371.0</v>
      </c>
      <c r="N104" s="7">
        <v>24.0</v>
      </c>
      <c r="O104" s="7">
        <v>56094.0</v>
      </c>
      <c r="P104" s="7">
        <f t="shared" si="2"/>
        <v>97213</v>
      </c>
      <c r="Q104" s="7">
        <f t="shared" si="3"/>
        <v>30734</v>
      </c>
      <c r="R104" s="8">
        <f t="shared" si="4"/>
        <v>31.61511321</v>
      </c>
      <c r="S104" s="7">
        <f t="shared" si="5"/>
        <v>98</v>
      </c>
      <c r="T104" s="7">
        <f t="shared" si="6"/>
        <v>24</v>
      </c>
      <c r="U104" s="6">
        <f t="shared" si="7"/>
        <v>4.083333333</v>
      </c>
      <c r="V104" s="7">
        <f t="shared" si="8"/>
        <v>59697</v>
      </c>
      <c r="W104" s="7">
        <f t="shared" si="9"/>
        <v>57371</v>
      </c>
      <c r="X104" s="6">
        <f t="shared" si="10"/>
        <v>1.040543132</v>
      </c>
      <c r="Y104" s="7">
        <f t="shared" ref="Y104:Z104" si="114">S104+V104</f>
        <v>59795</v>
      </c>
      <c r="Z104" s="7">
        <f t="shared" si="114"/>
        <v>57395</v>
      </c>
      <c r="AA104" s="6">
        <f t="shared" si="12"/>
        <v>1.041815489</v>
      </c>
      <c r="AB104" s="6">
        <f t="shared" si="13"/>
        <v>35.61303618</v>
      </c>
    </row>
    <row r="105">
      <c r="A105" s="6">
        <v>2024.0</v>
      </c>
      <c r="B105" s="6">
        <v>12.0</v>
      </c>
      <c r="C105" s="6">
        <v>18.0</v>
      </c>
      <c r="D105" s="6">
        <v>1.0</v>
      </c>
      <c r="E105" s="7">
        <v>52835.0</v>
      </c>
      <c r="F105" s="7">
        <v>91137.0</v>
      </c>
      <c r="G105" s="7">
        <v>29372.0</v>
      </c>
      <c r="H105" s="7">
        <v>23797.0</v>
      </c>
      <c r="I105" s="7">
        <v>23455.0</v>
      </c>
      <c r="J105" s="7">
        <v>65.0</v>
      </c>
      <c r="K105" s="7">
        <v>54646.0</v>
      </c>
      <c r="L105" s="7">
        <v>54.0</v>
      </c>
      <c r="M105" s="7">
        <v>44189.0</v>
      </c>
      <c r="N105" s="7">
        <v>51.0</v>
      </c>
      <c r="O105" s="7">
        <v>43645.0</v>
      </c>
      <c r="P105" s="7">
        <f t="shared" si="2"/>
        <v>52835</v>
      </c>
      <c r="Q105" s="7">
        <f t="shared" si="3"/>
        <v>29714</v>
      </c>
      <c r="R105" s="8">
        <f t="shared" si="4"/>
        <v>56.23923536</v>
      </c>
      <c r="S105" s="7">
        <f t="shared" si="5"/>
        <v>68</v>
      </c>
      <c r="T105" s="7">
        <f t="shared" si="6"/>
        <v>54</v>
      </c>
      <c r="U105" s="6">
        <f t="shared" si="7"/>
        <v>1.259259259</v>
      </c>
      <c r="V105" s="7">
        <f t="shared" si="8"/>
        <v>55190</v>
      </c>
      <c r="W105" s="7">
        <f t="shared" si="9"/>
        <v>44189</v>
      </c>
      <c r="X105" s="6">
        <f t="shared" si="10"/>
        <v>1.248953359</v>
      </c>
      <c r="Y105" s="7">
        <f t="shared" ref="Y105:Z105" si="115">S105+V105</f>
        <v>55258</v>
      </c>
      <c r="Z105" s="7">
        <f t="shared" si="115"/>
        <v>44243</v>
      </c>
      <c r="AA105" s="6">
        <f t="shared" si="12"/>
        <v>1.248965938</v>
      </c>
      <c r="AB105" s="6">
        <f t="shared" si="13"/>
        <v>60.63179609</v>
      </c>
    </row>
    <row r="106">
      <c r="A106" s="6">
        <v>2024.0</v>
      </c>
      <c r="B106" s="6">
        <v>12.0</v>
      </c>
      <c r="C106" s="6">
        <v>18.0</v>
      </c>
      <c r="D106" s="6">
        <v>2.0</v>
      </c>
      <c r="E106" s="7">
        <v>57460.0</v>
      </c>
      <c r="F106" s="7">
        <v>93141.0</v>
      </c>
      <c r="G106" s="7">
        <v>18018.0</v>
      </c>
      <c r="H106" s="7">
        <v>17572.0</v>
      </c>
      <c r="I106" s="7">
        <v>17283.0</v>
      </c>
      <c r="J106" s="7">
        <v>2.0</v>
      </c>
      <c r="K106" s="7">
        <v>34673.0</v>
      </c>
      <c r="L106" s="7">
        <v>2.0</v>
      </c>
      <c r="M106" s="7">
        <v>33922.0</v>
      </c>
      <c r="N106" s="7">
        <v>2.0</v>
      </c>
      <c r="O106" s="7">
        <v>33361.0</v>
      </c>
      <c r="P106" s="7">
        <f t="shared" si="2"/>
        <v>57460</v>
      </c>
      <c r="Q106" s="7">
        <f t="shared" si="3"/>
        <v>18307</v>
      </c>
      <c r="R106" s="8">
        <f t="shared" si="4"/>
        <v>31.86042464</v>
      </c>
      <c r="S106" s="7">
        <f t="shared" si="5"/>
        <v>2</v>
      </c>
      <c r="T106" s="7">
        <f t="shared" si="6"/>
        <v>2</v>
      </c>
      <c r="U106" s="6">
        <f t="shared" si="7"/>
        <v>1</v>
      </c>
      <c r="V106" s="7">
        <f t="shared" si="8"/>
        <v>35234</v>
      </c>
      <c r="W106" s="7">
        <f t="shared" si="9"/>
        <v>33922</v>
      </c>
      <c r="X106" s="6">
        <f t="shared" si="10"/>
        <v>1.038676965</v>
      </c>
      <c r="Y106" s="7">
        <f t="shared" ref="Y106:Z106" si="116">S106+V106</f>
        <v>35236</v>
      </c>
      <c r="Z106" s="7">
        <f t="shared" si="116"/>
        <v>33924</v>
      </c>
      <c r="AA106" s="6">
        <f t="shared" si="12"/>
        <v>1.038674685</v>
      </c>
      <c r="AB106" s="6">
        <f t="shared" si="13"/>
        <v>37.83081565</v>
      </c>
    </row>
    <row r="107">
      <c r="A107" s="6">
        <v>2024.0</v>
      </c>
      <c r="B107" s="6">
        <v>12.0</v>
      </c>
      <c r="C107" s="6">
        <v>18.0</v>
      </c>
      <c r="D107" s="6">
        <v>1.0</v>
      </c>
      <c r="E107" s="7">
        <v>42687.0</v>
      </c>
      <c r="F107" s="7">
        <v>73346.0</v>
      </c>
      <c r="G107" s="7">
        <v>27515.0</v>
      </c>
      <c r="H107" s="7">
        <v>20099.0</v>
      </c>
      <c r="I107" s="7">
        <v>19866.0</v>
      </c>
      <c r="J107" s="7">
        <v>618.0</v>
      </c>
      <c r="K107" s="7">
        <v>52184.0</v>
      </c>
      <c r="L107" s="7">
        <v>301.0</v>
      </c>
      <c r="M107" s="7">
        <v>37695.0</v>
      </c>
      <c r="N107" s="7">
        <v>299.0</v>
      </c>
      <c r="O107" s="7">
        <v>37285.0</v>
      </c>
      <c r="P107" s="7">
        <f t="shared" si="2"/>
        <v>42687</v>
      </c>
      <c r="Q107" s="7">
        <f t="shared" si="3"/>
        <v>27748</v>
      </c>
      <c r="R107" s="8">
        <f t="shared" si="4"/>
        <v>65.00339682</v>
      </c>
      <c r="S107" s="7">
        <f t="shared" si="5"/>
        <v>620</v>
      </c>
      <c r="T107" s="7">
        <f t="shared" si="6"/>
        <v>301</v>
      </c>
      <c r="U107" s="6">
        <f t="shared" si="7"/>
        <v>2.059800664</v>
      </c>
      <c r="V107" s="7">
        <f t="shared" si="8"/>
        <v>52594</v>
      </c>
      <c r="W107" s="7">
        <f t="shared" si="9"/>
        <v>37695</v>
      </c>
      <c r="X107" s="6">
        <f t="shared" si="10"/>
        <v>1.39525136</v>
      </c>
      <c r="Y107" s="7">
        <f t="shared" ref="Y107:Z107" si="117">S107+V107</f>
        <v>53214</v>
      </c>
      <c r="Z107" s="7">
        <f t="shared" si="117"/>
        <v>37996</v>
      </c>
      <c r="AA107" s="6">
        <f t="shared" si="12"/>
        <v>1.400515844</v>
      </c>
      <c r="AB107" s="6">
        <f t="shared" si="13"/>
        <v>72.55201374</v>
      </c>
    </row>
    <row r="108">
      <c r="A108" s="6">
        <v>2024.0</v>
      </c>
      <c r="B108" s="6">
        <v>12.0</v>
      </c>
      <c r="C108" s="6">
        <v>18.0</v>
      </c>
      <c r="D108" s="6">
        <v>2.0</v>
      </c>
      <c r="E108" s="7">
        <v>36746.0</v>
      </c>
      <c r="F108" s="7">
        <v>60053.0</v>
      </c>
      <c r="G108" s="7">
        <v>15709.0</v>
      </c>
      <c r="H108" s="7">
        <v>12794.0</v>
      </c>
      <c r="I108" s="7">
        <v>12435.0</v>
      </c>
      <c r="J108" s="7">
        <v>20.0</v>
      </c>
      <c r="K108" s="7">
        <v>28807.0</v>
      </c>
      <c r="L108" s="7">
        <v>8.0</v>
      </c>
      <c r="M108" s="7">
        <v>23817.0</v>
      </c>
      <c r="N108" s="7">
        <v>7.0</v>
      </c>
      <c r="O108" s="7">
        <v>23151.0</v>
      </c>
      <c r="P108" s="7">
        <f t="shared" si="2"/>
        <v>36746</v>
      </c>
      <c r="Q108" s="7">
        <f t="shared" si="3"/>
        <v>16068</v>
      </c>
      <c r="R108" s="8">
        <f t="shared" si="4"/>
        <v>43.7272084</v>
      </c>
      <c r="S108" s="7">
        <f t="shared" si="5"/>
        <v>21</v>
      </c>
      <c r="T108" s="7">
        <f t="shared" si="6"/>
        <v>8</v>
      </c>
      <c r="U108" s="6">
        <f t="shared" si="7"/>
        <v>2.625</v>
      </c>
      <c r="V108" s="7">
        <f t="shared" si="8"/>
        <v>29473</v>
      </c>
      <c r="W108" s="7">
        <f t="shared" si="9"/>
        <v>23817</v>
      </c>
      <c r="X108" s="6">
        <f t="shared" si="10"/>
        <v>1.237477432</v>
      </c>
      <c r="Y108" s="7">
        <f t="shared" ref="Y108:Z108" si="118">S108+V108</f>
        <v>29494</v>
      </c>
      <c r="Z108" s="7">
        <f t="shared" si="118"/>
        <v>23825</v>
      </c>
      <c r="AA108" s="6">
        <f t="shared" si="12"/>
        <v>1.237943337</v>
      </c>
      <c r="AB108" s="6">
        <f t="shared" si="13"/>
        <v>49.11328327</v>
      </c>
    </row>
    <row r="109">
      <c r="A109" s="6">
        <v>2024.0</v>
      </c>
      <c r="B109" s="6">
        <v>12.0</v>
      </c>
      <c r="C109" s="6">
        <v>18.0</v>
      </c>
      <c r="D109" s="6">
        <v>1.0</v>
      </c>
      <c r="E109" s="7">
        <v>10354.0</v>
      </c>
      <c r="F109" s="7">
        <v>13950.0</v>
      </c>
      <c r="G109" s="7">
        <v>6914.0</v>
      </c>
      <c r="H109" s="7">
        <v>4968.0</v>
      </c>
      <c r="I109" s="7">
        <v>4765.0</v>
      </c>
      <c r="J109" s="7">
        <v>0.0</v>
      </c>
      <c r="K109" s="7">
        <v>12826.0</v>
      </c>
      <c r="L109" s="7">
        <v>0.0</v>
      </c>
      <c r="M109" s="7">
        <v>8170.0</v>
      </c>
      <c r="N109" s="7">
        <v>0.0</v>
      </c>
      <c r="O109" s="7">
        <v>7859.0</v>
      </c>
      <c r="P109" s="7">
        <f t="shared" si="2"/>
        <v>10354</v>
      </c>
      <c r="Q109" s="7">
        <f t="shared" si="3"/>
        <v>7117</v>
      </c>
      <c r="R109" s="8">
        <f t="shared" si="4"/>
        <v>68.73672011</v>
      </c>
      <c r="S109" s="7">
        <f t="shared" si="5"/>
        <v>0</v>
      </c>
      <c r="T109" s="7">
        <f t="shared" si="6"/>
        <v>0</v>
      </c>
      <c r="U109" s="9" t="str">
        <f t="shared" si="7"/>
        <v>#DIV/0!</v>
      </c>
      <c r="V109" s="7">
        <f t="shared" si="8"/>
        <v>13137</v>
      </c>
      <c r="W109" s="7">
        <f t="shared" si="9"/>
        <v>8170</v>
      </c>
      <c r="X109" s="6">
        <f t="shared" si="10"/>
        <v>1.607955936</v>
      </c>
      <c r="Y109" s="7">
        <f t="shared" ref="Y109:Z109" si="119">S109+V109</f>
        <v>13137</v>
      </c>
      <c r="Z109" s="7">
        <f t="shared" si="119"/>
        <v>8170</v>
      </c>
      <c r="AA109" s="6">
        <f t="shared" si="12"/>
        <v>1.607955936</v>
      </c>
      <c r="AB109" s="6">
        <f t="shared" si="13"/>
        <v>94.17204301</v>
      </c>
    </row>
    <row r="110">
      <c r="L110" s="10"/>
      <c r="R110" s="1"/>
    </row>
    <row r="111">
      <c r="L111" s="10"/>
      <c r="R111" s="1"/>
    </row>
    <row r="112">
      <c r="L112" s="10"/>
      <c r="R112" s="1"/>
    </row>
    <row r="113">
      <c r="L113" s="10"/>
      <c r="R113" s="1"/>
    </row>
    <row r="114">
      <c r="L114" s="10"/>
      <c r="R114" s="1"/>
    </row>
    <row r="115">
      <c r="L115" s="10"/>
      <c r="R115" s="1"/>
    </row>
    <row r="116">
      <c r="L116" s="10"/>
      <c r="R116" s="1"/>
    </row>
    <row r="117">
      <c r="L117" s="10"/>
      <c r="R117" s="1"/>
    </row>
    <row r="118">
      <c r="L118" s="10"/>
      <c r="R118" s="1"/>
    </row>
    <row r="119">
      <c r="L119" s="10"/>
      <c r="R119" s="1"/>
    </row>
    <row r="120">
      <c r="L120" s="10"/>
      <c r="R120" s="1"/>
    </row>
    <row r="121">
      <c r="L121" s="10"/>
      <c r="R121" s="1"/>
    </row>
    <row r="122">
      <c r="L122" s="10"/>
      <c r="R122" s="1"/>
    </row>
    <row r="123">
      <c r="L123" s="10"/>
      <c r="R123" s="1"/>
    </row>
    <row r="124">
      <c r="L124" s="10"/>
      <c r="R124" s="1"/>
    </row>
    <row r="125">
      <c r="L125" s="10"/>
      <c r="R125" s="1"/>
    </row>
    <row r="126">
      <c r="L126" s="10"/>
      <c r="R126" s="1"/>
    </row>
    <row r="127">
      <c r="L127" s="10"/>
      <c r="R127" s="1"/>
    </row>
    <row r="128">
      <c r="L128" s="10"/>
      <c r="R128" s="1"/>
    </row>
    <row r="129">
      <c r="L129" s="10"/>
      <c r="R129" s="1"/>
    </row>
    <row r="130">
      <c r="L130" s="10"/>
      <c r="R130" s="1"/>
    </row>
    <row r="131">
      <c r="L131" s="10"/>
      <c r="R131" s="1"/>
    </row>
    <row r="132">
      <c r="L132" s="10"/>
      <c r="R132" s="1"/>
    </row>
    <row r="133">
      <c r="L133" s="10"/>
      <c r="R133" s="1"/>
    </row>
    <row r="134">
      <c r="L134" s="10"/>
      <c r="R134" s="1"/>
    </row>
    <row r="135">
      <c r="L135" s="10"/>
      <c r="R135" s="1"/>
    </row>
    <row r="136">
      <c r="L136" s="10"/>
      <c r="R136" s="1"/>
    </row>
    <row r="137">
      <c r="L137" s="10"/>
      <c r="R137" s="1"/>
    </row>
    <row r="138">
      <c r="L138" s="10"/>
      <c r="R138" s="1"/>
    </row>
    <row r="139">
      <c r="L139" s="10"/>
      <c r="R139" s="1"/>
    </row>
    <row r="140">
      <c r="L140" s="10"/>
      <c r="R140" s="1"/>
    </row>
    <row r="141">
      <c r="L141" s="10"/>
      <c r="R141" s="1"/>
    </row>
    <row r="142">
      <c r="L142" s="10"/>
      <c r="R142" s="1"/>
    </row>
    <row r="143">
      <c r="L143" s="10"/>
      <c r="R143" s="1"/>
    </row>
    <row r="144">
      <c r="L144" s="10"/>
      <c r="R144" s="1"/>
    </row>
    <row r="145">
      <c r="L145" s="10"/>
      <c r="R145" s="1"/>
    </row>
    <row r="146">
      <c r="L146" s="10"/>
      <c r="R146" s="1"/>
    </row>
    <row r="147">
      <c r="L147" s="10"/>
      <c r="R147" s="1"/>
    </row>
    <row r="148">
      <c r="L148" s="10"/>
      <c r="R148" s="1"/>
    </row>
    <row r="149">
      <c r="L149" s="10"/>
      <c r="R149" s="1"/>
    </row>
    <row r="150">
      <c r="L150" s="10"/>
      <c r="R150" s="1"/>
    </row>
    <row r="151">
      <c r="L151" s="10"/>
      <c r="R151" s="1"/>
    </row>
    <row r="152">
      <c r="L152" s="10"/>
      <c r="R152" s="1"/>
    </row>
    <row r="153">
      <c r="L153" s="10"/>
      <c r="R153" s="1"/>
    </row>
    <row r="154">
      <c r="L154" s="10"/>
      <c r="R154" s="1"/>
    </row>
    <row r="155">
      <c r="L155" s="10"/>
      <c r="R155" s="1"/>
    </row>
    <row r="156">
      <c r="L156" s="10"/>
      <c r="R156" s="1"/>
    </row>
    <row r="157">
      <c r="L157" s="10"/>
      <c r="R157" s="1"/>
    </row>
    <row r="158">
      <c r="L158" s="10"/>
      <c r="R158" s="1"/>
    </row>
    <row r="159">
      <c r="L159" s="10"/>
      <c r="R159" s="1"/>
    </row>
    <row r="160">
      <c r="L160" s="10"/>
      <c r="R160" s="1"/>
    </row>
    <row r="161">
      <c r="L161" s="10"/>
      <c r="R161" s="1"/>
    </row>
    <row r="162">
      <c r="L162" s="10"/>
      <c r="R162" s="1"/>
    </row>
    <row r="163">
      <c r="L163" s="10"/>
      <c r="R163" s="1"/>
    </row>
    <row r="164">
      <c r="L164" s="10"/>
      <c r="R164" s="1"/>
    </row>
    <row r="165">
      <c r="L165" s="10"/>
      <c r="R165" s="1"/>
    </row>
    <row r="166">
      <c r="L166" s="10"/>
      <c r="R166" s="1"/>
    </row>
    <row r="167">
      <c r="L167" s="10"/>
      <c r="R167" s="1"/>
    </row>
    <row r="168">
      <c r="L168" s="10"/>
      <c r="R168" s="1"/>
    </row>
    <row r="169">
      <c r="L169" s="10"/>
      <c r="R169" s="1"/>
    </row>
    <row r="170">
      <c r="L170" s="10"/>
      <c r="R170" s="1"/>
    </row>
    <row r="171">
      <c r="L171" s="10"/>
      <c r="R171" s="1"/>
    </row>
    <row r="172">
      <c r="L172" s="10"/>
      <c r="R172" s="1"/>
    </row>
    <row r="173">
      <c r="L173" s="10"/>
      <c r="R173" s="1"/>
    </row>
    <row r="174">
      <c r="L174" s="10"/>
      <c r="R174" s="1"/>
    </row>
    <row r="175">
      <c r="L175" s="10"/>
      <c r="R175" s="1"/>
    </row>
    <row r="176">
      <c r="L176" s="10"/>
      <c r="R176" s="1"/>
    </row>
    <row r="177">
      <c r="L177" s="10"/>
      <c r="R177" s="1"/>
    </row>
    <row r="178">
      <c r="L178" s="10"/>
      <c r="R178" s="1"/>
    </row>
    <row r="179">
      <c r="L179" s="10"/>
      <c r="R179" s="1"/>
    </row>
    <row r="180">
      <c r="L180" s="10"/>
      <c r="R180" s="1"/>
    </row>
    <row r="181">
      <c r="L181" s="10"/>
      <c r="R181" s="1"/>
    </row>
    <row r="182">
      <c r="L182" s="10"/>
      <c r="R182" s="1"/>
    </row>
    <row r="183">
      <c r="L183" s="10"/>
      <c r="R183" s="1"/>
    </row>
    <row r="184">
      <c r="L184" s="10"/>
      <c r="R184" s="1"/>
    </row>
    <row r="185">
      <c r="L185" s="10"/>
      <c r="R185" s="1"/>
    </row>
    <row r="186">
      <c r="L186" s="10"/>
      <c r="R186" s="1"/>
    </row>
    <row r="187">
      <c r="L187" s="10"/>
      <c r="R187" s="1"/>
    </row>
    <row r="188">
      <c r="L188" s="10"/>
      <c r="R188" s="1"/>
    </row>
    <row r="189">
      <c r="L189" s="10"/>
      <c r="R189" s="1"/>
    </row>
    <row r="190">
      <c r="L190" s="10"/>
      <c r="R190" s="1"/>
    </row>
    <row r="191">
      <c r="L191" s="10"/>
      <c r="R191" s="1"/>
    </row>
    <row r="192">
      <c r="L192" s="10"/>
      <c r="R192" s="1"/>
    </row>
    <row r="193">
      <c r="L193" s="10"/>
      <c r="R193" s="1"/>
    </row>
    <row r="194">
      <c r="L194" s="10"/>
      <c r="R194" s="1"/>
    </row>
    <row r="195">
      <c r="L195" s="10"/>
      <c r="R195" s="1"/>
    </row>
    <row r="196">
      <c r="L196" s="10"/>
      <c r="R196" s="1"/>
    </row>
    <row r="197">
      <c r="L197" s="10"/>
      <c r="R197" s="1"/>
    </row>
    <row r="198">
      <c r="L198" s="10"/>
      <c r="R198" s="1"/>
    </row>
    <row r="199">
      <c r="L199" s="10"/>
      <c r="R199" s="1"/>
    </row>
    <row r="200">
      <c r="L200" s="10"/>
      <c r="R200" s="1"/>
    </row>
    <row r="201">
      <c r="L201" s="10"/>
      <c r="R201" s="1"/>
    </row>
    <row r="202">
      <c r="L202" s="10"/>
      <c r="R202" s="1"/>
    </row>
    <row r="203">
      <c r="L203" s="10"/>
      <c r="R203" s="1"/>
    </row>
    <row r="204">
      <c r="L204" s="10"/>
      <c r="R204" s="1"/>
    </row>
    <row r="205">
      <c r="L205" s="10"/>
      <c r="R205" s="1"/>
    </row>
    <row r="206">
      <c r="L206" s="10"/>
      <c r="R206" s="1"/>
    </row>
    <row r="207">
      <c r="L207" s="10"/>
      <c r="R207" s="1"/>
    </row>
    <row r="208">
      <c r="L208" s="10"/>
      <c r="R208" s="1"/>
    </row>
    <row r="209">
      <c r="L209" s="10"/>
      <c r="R209" s="1"/>
    </row>
    <row r="210">
      <c r="L210" s="10"/>
      <c r="R210" s="1"/>
    </row>
    <row r="211">
      <c r="L211" s="10"/>
      <c r="R211" s="1"/>
    </row>
    <row r="212">
      <c r="L212" s="10"/>
      <c r="R212" s="1"/>
    </row>
    <row r="213">
      <c r="L213" s="10"/>
      <c r="R213" s="1"/>
    </row>
    <row r="214">
      <c r="L214" s="10"/>
      <c r="R214" s="1"/>
    </row>
    <row r="215">
      <c r="L215" s="10"/>
      <c r="R215" s="1"/>
    </row>
    <row r="216">
      <c r="L216" s="10"/>
      <c r="R216" s="1"/>
    </row>
    <row r="217">
      <c r="L217" s="10"/>
      <c r="R217" s="1"/>
    </row>
    <row r="218">
      <c r="L218" s="10"/>
      <c r="R218" s="1"/>
    </row>
    <row r="219">
      <c r="L219" s="10"/>
      <c r="R219" s="1"/>
    </row>
    <row r="220">
      <c r="L220" s="10"/>
      <c r="R220" s="1"/>
    </row>
    <row r="221">
      <c r="L221" s="10"/>
      <c r="R221" s="1"/>
    </row>
    <row r="222">
      <c r="L222" s="10"/>
      <c r="R222" s="1"/>
    </row>
    <row r="223">
      <c r="L223" s="10"/>
      <c r="R223" s="1"/>
    </row>
    <row r="224">
      <c r="L224" s="10"/>
      <c r="R224" s="1"/>
    </row>
    <row r="225">
      <c r="L225" s="10"/>
      <c r="R225" s="1"/>
    </row>
    <row r="226">
      <c r="L226" s="10"/>
      <c r="R226" s="1"/>
    </row>
    <row r="227">
      <c r="L227" s="10"/>
      <c r="R227" s="1"/>
    </row>
    <row r="228">
      <c r="L228" s="10"/>
      <c r="R228" s="1"/>
    </row>
    <row r="229">
      <c r="L229" s="10"/>
      <c r="R229" s="1"/>
    </row>
    <row r="230">
      <c r="L230" s="10"/>
      <c r="R230" s="1"/>
    </row>
    <row r="231">
      <c r="L231" s="10"/>
      <c r="R231" s="1"/>
    </row>
    <row r="232">
      <c r="L232" s="10"/>
      <c r="R232" s="1"/>
    </row>
    <row r="233">
      <c r="L233" s="10"/>
      <c r="R233" s="1"/>
    </row>
    <row r="234">
      <c r="L234" s="10"/>
      <c r="R234" s="1"/>
    </row>
    <row r="235">
      <c r="L235" s="10"/>
      <c r="R235" s="1"/>
    </row>
    <row r="236">
      <c r="L236" s="10"/>
      <c r="R236" s="1"/>
    </row>
    <row r="237">
      <c r="L237" s="10"/>
      <c r="R237" s="1"/>
    </row>
    <row r="238">
      <c r="L238" s="10"/>
      <c r="R238" s="1"/>
    </row>
    <row r="239">
      <c r="L239" s="10"/>
      <c r="R239" s="1"/>
    </row>
    <row r="240">
      <c r="L240" s="10"/>
      <c r="R240" s="1"/>
    </row>
    <row r="241">
      <c r="L241" s="10"/>
      <c r="R241" s="1"/>
    </row>
    <row r="242">
      <c r="L242" s="10"/>
      <c r="R242" s="1"/>
    </row>
    <row r="243">
      <c r="L243" s="10"/>
      <c r="R243" s="1"/>
    </row>
    <row r="244">
      <c r="L244" s="10"/>
      <c r="R244" s="1"/>
    </row>
    <row r="245">
      <c r="L245" s="10"/>
      <c r="R245" s="1"/>
    </row>
    <row r="246">
      <c r="L246" s="10"/>
      <c r="R246" s="1"/>
    </row>
    <row r="247">
      <c r="L247" s="10"/>
      <c r="R247" s="1"/>
    </row>
    <row r="248">
      <c r="L248" s="10"/>
      <c r="R248" s="1"/>
    </row>
    <row r="249">
      <c r="L249" s="10"/>
      <c r="R249" s="1"/>
    </row>
    <row r="250">
      <c r="L250" s="10"/>
      <c r="R250" s="1"/>
    </row>
    <row r="251">
      <c r="L251" s="10"/>
      <c r="R251" s="1"/>
    </row>
    <row r="252">
      <c r="L252" s="10"/>
      <c r="R252" s="1"/>
    </row>
    <row r="253">
      <c r="L253" s="10"/>
      <c r="R253" s="1"/>
    </row>
    <row r="254">
      <c r="L254" s="10"/>
      <c r="R254" s="1"/>
    </row>
    <row r="255">
      <c r="L255" s="10"/>
      <c r="R255" s="1"/>
    </row>
    <row r="256">
      <c r="L256" s="10"/>
      <c r="R256" s="1"/>
    </row>
    <row r="257">
      <c r="L257" s="10"/>
      <c r="R257" s="1"/>
    </row>
    <row r="258">
      <c r="L258" s="10"/>
      <c r="R258" s="1"/>
    </row>
    <row r="259">
      <c r="L259" s="10"/>
      <c r="R259" s="1"/>
    </row>
    <row r="260">
      <c r="L260" s="10"/>
      <c r="R260" s="1"/>
    </row>
    <row r="261">
      <c r="L261" s="10"/>
      <c r="R261" s="1"/>
    </row>
    <row r="262">
      <c r="L262" s="10"/>
      <c r="R262" s="1"/>
    </row>
    <row r="263">
      <c r="L263" s="10"/>
      <c r="R263" s="1"/>
    </row>
    <row r="264">
      <c r="L264" s="10"/>
      <c r="R264" s="1"/>
    </row>
    <row r="265">
      <c r="L265" s="10"/>
      <c r="R265" s="1"/>
    </row>
    <row r="266">
      <c r="L266" s="10"/>
      <c r="R266" s="1"/>
    </row>
    <row r="267">
      <c r="L267" s="10"/>
      <c r="R267" s="1"/>
    </row>
    <row r="268">
      <c r="L268" s="10"/>
      <c r="R268" s="1"/>
    </row>
    <row r="269">
      <c r="L269" s="10"/>
      <c r="R269" s="1"/>
    </row>
    <row r="270">
      <c r="L270" s="10"/>
      <c r="R270" s="1"/>
    </row>
    <row r="271">
      <c r="L271" s="10"/>
      <c r="R271" s="1"/>
    </row>
    <row r="272">
      <c r="L272" s="10"/>
      <c r="R272" s="1"/>
    </row>
    <row r="273">
      <c r="L273" s="10"/>
      <c r="R273" s="1"/>
    </row>
    <row r="274">
      <c r="L274" s="10"/>
      <c r="R274" s="1"/>
    </row>
    <row r="275">
      <c r="L275" s="10"/>
      <c r="R275" s="1"/>
    </row>
    <row r="276">
      <c r="L276" s="10"/>
      <c r="R276" s="1"/>
    </row>
    <row r="277">
      <c r="L277" s="10"/>
      <c r="R277" s="1"/>
    </row>
    <row r="278">
      <c r="L278" s="10"/>
      <c r="R278" s="1"/>
    </row>
    <row r="279">
      <c r="L279" s="10"/>
      <c r="R279" s="1"/>
    </row>
    <row r="280">
      <c r="L280" s="10"/>
      <c r="R280" s="1"/>
    </row>
    <row r="281">
      <c r="L281" s="10"/>
      <c r="R281" s="1"/>
    </row>
    <row r="282">
      <c r="L282" s="10"/>
      <c r="R282" s="1"/>
    </row>
    <row r="283">
      <c r="L283" s="10"/>
      <c r="R283" s="1"/>
    </row>
    <row r="284">
      <c r="L284" s="10"/>
      <c r="R284" s="1"/>
    </row>
    <row r="285">
      <c r="L285" s="10"/>
      <c r="R285" s="1"/>
    </row>
    <row r="286">
      <c r="L286" s="10"/>
      <c r="R286" s="1"/>
    </row>
    <row r="287">
      <c r="L287" s="10"/>
      <c r="R287" s="1"/>
    </row>
    <row r="288">
      <c r="L288" s="10"/>
      <c r="R288" s="1"/>
    </row>
    <row r="289">
      <c r="L289" s="10"/>
      <c r="R289" s="1"/>
    </row>
    <row r="290">
      <c r="L290" s="10"/>
      <c r="R290" s="1"/>
    </row>
    <row r="291">
      <c r="L291" s="10"/>
      <c r="R291" s="1"/>
    </row>
    <row r="292">
      <c r="L292" s="10"/>
      <c r="R292" s="1"/>
    </row>
    <row r="293">
      <c r="L293" s="10"/>
      <c r="R293" s="1"/>
    </row>
    <row r="294">
      <c r="L294" s="10"/>
      <c r="R294" s="1"/>
    </row>
    <row r="295">
      <c r="L295" s="10"/>
      <c r="R295" s="1"/>
    </row>
    <row r="296">
      <c r="L296" s="10"/>
      <c r="R296" s="1"/>
    </row>
    <row r="297">
      <c r="L297" s="10"/>
      <c r="R297" s="1"/>
    </row>
    <row r="298">
      <c r="L298" s="10"/>
      <c r="R298" s="1"/>
    </row>
    <row r="299">
      <c r="L299" s="10"/>
      <c r="R299" s="1"/>
    </row>
    <row r="300">
      <c r="L300" s="10"/>
      <c r="R300" s="1"/>
    </row>
    <row r="301">
      <c r="L301" s="10"/>
      <c r="R301" s="1"/>
    </row>
    <row r="302">
      <c r="L302" s="10"/>
      <c r="R302" s="1"/>
    </row>
    <row r="303">
      <c r="L303" s="10"/>
      <c r="R303" s="1"/>
    </row>
    <row r="304">
      <c r="L304" s="10"/>
      <c r="R304" s="1"/>
    </row>
    <row r="305">
      <c r="L305" s="10"/>
      <c r="R305" s="1"/>
    </row>
    <row r="306">
      <c r="L306" s="10"/>
      <c r="R306" s="1"/>
    </row>
    <row r="307">
      <c r="L307" s="10"/>
      <c r="R307" s="1"/>
    </row>
    <row r="308">
      <c r="L308" s="10"/>
      <c r="R308" s="1"/>
    </row>
    <row r="309">
      <c r="L309" s="10"/>
      <c r="R309" s="1"/>
    </row>
    <row r="310">
      <c r="L310" s="10"/>
      <c r="R310" s="1"/>
    </row>
    <row r="311">
      <c r="L311" s="10"/>
      <c r="R311" s="1"/>
    </row>
    <row r="312">
      <c r="L312" s="10"/>
      <c r="R312" s="1"/>
    </row>
    <row r="313">
      <c r="L313" s="10"/>
      <c r="R313" s="1"/>
    </row>
    <row r="314">
      <c r="L314" s="10"/>
      <c r="R314" s="1"/>
    </row>
    <row r="315">
      <c r="L315" s="10"/>
      <c r="R315" s="1"/>
    </row>
    <row r="316">
      <c r="L316" s="10"/>
      <c r="R316" s="1"/>
    </row>
    <row r="317">
      <c r="L317" s="10"/>
      <c r="R317" s="1"/>
    </row>
    <row r="318">
      <c r="L318" s="10"/>
      <c r="R318" s="1"/>
    </row>
    <row r="319">
      <c r="L319" s="10"/>
      <c r="R319" s="1"/>
    </row>
    <row r="320">
      <c r="L320" s="10"/>
      <c r="R320" s="1"/>
    </row>
    <row r="321">
      <c r="L321" s="10"/>
      <c r="R321" s="1"/>
    </row>
    <row r="322">
      <c r="L322" s="10"/>
      <c r="R322" s="1"/>
    </row>
    <row r="323">
      <c r="L323" s="10"/>
      <c r="R323" s="1"/>
    </row>
    <row r="324">
      <c r="L324" s="10"/>
      <c r="R324" s="1"/>
    </row>
    <row r="325">
      <c r="L325" s="10"/>
      <c r="R325" s="1"/>
    </row>
    <row r="326">
      <c r="L326" s="10"/>
      <c r="R326" s="1"/>
    </row>
    <row r="327">
      <c r="L327" s="10"/>
      <c r="R327" s="1"/>
    </row>
    <row r="328">
      <c r="L328" s="10"/>
      <c r="R328" s="1"/>
    </row>
    <row r="329">
      <c r="L329" s="10"/>
      <c r="R329" s="1"/>
    </row>
    <row r="330">
      <c r="L330" s="10"/>
      <c r="R330" s="1"/>
    </row>
    <row r="331">
      <c r="L331" s="10"/>
      <c r="R331" s="1"/>
    </row>
    <row r="332">
      <c r="L332" s="10"/>
      <c r="R332" s="1"/>
    </row>
    <row r="333">
      <c r="L333" s="10"/>
      <c r="R333" s="1"/>
    </row>
    <row r="334">
      <c r="L334" s="10"/>
      <c r="R334" s="1"/>
    </row>
    <row r="335">
      <c r="L335" s="10"/>
      <c r="R335" s="1"/>
    </row>
    <row r="336">
      <c r="L336" s="10"/>
      <c r="R336" s="1"/>
    </row>
    <row r="337">
      <c r="L337" s="10"/>
      <c r="R337" s="1"/>
    </row>
    <row r="338">
      <c r="L338" s="10"/>
      <c r="R338" s="1"/>
    </row>
    <row r="339">
      <c r="L339" s="10"/>
      <c r="R339" s="1"/>
    </row>
    <row r="340">
      <c r="L340" s="10"/>
      <c r="R340" s="1"/>
    </row>
    <row r="341">
      <c r="L341" s="10"/>
      <c r="R341" s="1"/>
    </row>
    <row r="342">
      <c r="L342" s="10"/>
      <c r="R342" s="1"/>
    </row>
    <row r="343">
      <c r="L343" s="10"/>
      <c r="R343" s="1"/>
    </row>
    <row r="344">
      <c r="L344" s="10"/>
      <c r="R344" s="1"/>
    </row>
    <row r="345">
      <c r="L345" s="10"/>
      <c r="R345" s="1"/>
    </row>
    <row r="346">
      <c r="L346" s="10"/>
      <c r="R346" s="1"/>
    </row>
    <row r="347">
      <c r="L347" s="10"/>
      <c r="R347" s="1"/>
    </row>
    <row r="348">
      <c r="L348" s="10"/>
      <c r="R348" s="1"/>
    </row>
    <row r="349">
      <c r="L349" s="10"/>
      <c r="R349" s="1"/>
    </row>
    <row r="350">
      <c r="L350" s="10"/>
      <c r="R350" s="1"/>
    </row>
    <row r="351">
      <c r="L351" s="10"/>
      <c r="R351" s="1"/>
    </row>
    <row r="352">
      <c r="L352" s="10"/>
      <c r="R352" s="1"/>
    </row>
    <row r="353">
      <c r="L353" s="10"/>
      <c r="R353" s="1"/>
    </row>
    <row r="354">
      <c r="L354" s="10"/>
      <c r="R354" s="1"/>
    </row>
    <row r="355">
      <c r="L355" s="10"/>
      <c r="R355" s="1"/>
    </row>
    <row r="356">
      <c r="L356" s="10"/>
      <c r="R356" s="1"/>
    </row>
    <row r="357">
      <c r="L357" s="10"/>
      <c r="R357" s="1"/>
    </row>
    <row r="358">
      <c r="L358" s="10"/>
      <c r="R358" s="1"/>
    </row>
    <row r="359">
      <c r="L359" s="10"/>
      <c r="R359" s="1"/>
    </row>
    <row r="360">
      <c r="L360" s="10"/>
      <c r="R360" s="1"/>
    </row>
    <row r="361">
      <c r="L361" s="10"/>
      <c r="R361" s="1"/>
    </row>
    <row r="362">
      <c r="L362" s="10"/>
      <c r="R362" s="1"/>
    </row>
    <row r="363">
      <c r="L363" s="10"/>
      <c r="R363" s="1"/>
    </row>
    <row r="364">
      <c r="L364" s="10"/>
      <c r="R364" s="1"/>
    </row>
    <row r="365">
      <c r="L365" s="10"/>
      <c r="R365" s="1"/>
    </row>
    <row r="366">
      <c r="L366" s="10"/>
      <c r="R366" s="1"/>
    </row>
    <row r="367">
      <c r="L367" s="10"/>
      <c r="R367" s="1"/>
    </row>
    <row r="368">
      <c r="L368" s="10"/>
      <c r="R368" s="1"/>
    </row>
    <row r="369">
      <c r="L369" s="10"/>
      <c r="R369" s="1"/>
    </row>
    <row r="370">
      <c r="L370" s="10"/>
      <c r="R370" s="1"/>
    </row>
    <row r="371">
      <c r="L371" s="10"/>
      <c r="R371" s="1"/>
    </row>
    <row r="372">
      <c r="L372" s="10"/>
      <c r="R372" s="1"/>
    </row>
    <row r="373">
      <c r="L373" s="10"/>
      <c r="R373" s="1"/>
    </row>
    <row r="374">
      <c r="L374" s="10"/>
      <c r="R374" s="1"/>
    </row>
    <row r="375">
      <c r="L375" s="10"/>
      <c r="R375" s="1"/>
    </row>
    <row r="376">
      <c r="L376" s="10"/>
      <c r="R376" s="1"/>
    </row>
    <row r="377">
      <c r="L377" s="10"/>
      <c r="R377" s="1"/>
    </row>
    <row r="378">
      <c r="L378" s="10"/>
      <c r="R378" s="1"/>
    </row>
    <row r="379">
      <c r="L379" s="10"/>
      <c r="R379" s="1"/>
    </row>
    <row r="380">
      <c r="L380" s="10"/>
      <c r="R380" s="1"/>
    </row>
    <row r="381">
      <c r="L381" s="10"/>
      <c r="R381" s="1"/>
    </row>
    <row r="382">
      <c r="L382" s="10"/>
      <c r="R382" s="1"/>
    </row>
    <row r="383">
      <c r="L383" s="10"/>
      <c r="R383" s="1"/>
    </row>
    <row r="384">
      <c r="L384" s="10"/>
      <c r="R384" s="1"/>
    </row>
    <row r="385">
      <c r="L385" s="10"/>
      <c r="R385" s="1"/>
    </row>
    <row r="386">
      <c r="L386" s="10"/>
      <c r="R386" s="1"/>
    </row>
    <row r="387">
      <c r="L387" s="10"/>
      <c r="R387" s="1"/>
    </row>
    <row r="388">
      <c r="L388" s="10"/>
      <c r="R388" s="1"/>
    </row>
    <row r="389">
      <c r="L389" s="10"/>
      <c r="R389" s="1"/>
    </row>
    <row r="390">
      <c r="L390" s="10"/>
      <c r="R390" s="1"/>
    </row>
    <row r="391">
      <c r="L391" s="10"/>
      <c r="R391" s="1"/>
    </row>
    <row r="392">
      <c r="L392" s="10"/>
      <c r="R392" s="1"/>
    </row>
    <row r="393">
      <c r="L393" s="10"/>
      <c r="R393" s="1"/>
    </row>
    <row r="394">
      <c r="L394" s="10"/>
      <c r="R394" s="1"/>
    </row>
    <row r="395">
      <c r="L395" s="10"/>
      <c r="R395" s="1"/>
    </row>
    <row r="396">
      <c r="L396" s="10"/>
      <c r="R396" s="1"/>
    </row>
    <row r="397">
      <c r="L397" s="10"/>
      <c r="R397" s="1"/>
    </row>
    <row r="398">
      <c r="L398" s="10"/>
      <c r="R398" s="1"/>
    </row>
    <row r="399">
      <c r="L399" s="10"/>
      <c r="R399" s="1"/>
    </row>
    <row r="400">
      <c r="L400" s="10"/>
      <c r="R400" s="1"/>
    </row>
    <row r="401">
      <c r="L401" s="10"/>
      <c r="R401" s="1"/>
    </row>
    <row r="402">
      <c r="L402" s="10"/>
      <c r="R402" s="1"/>
    </row>
    <row r="403">
      <c r="L403" s="10"/>
      <c r="R403" s="1"/>
    </row>
    <row r="404">
      <c r="L404" s="10"/>
      <c r="R404" s="1"/>
    </row>
    <row r="405">
      <c r="L405" s="10"/>
      <c r="R405" s="1"/>
    </row>
    <row r="406">
      <c r="L406" s="10"/>
      <c r="R406" s="1"/>
    </row>
    <row r="407">
      <c r="L407" s="10"/>
      <c r="R407" s="1"/>
    </row>
    <row r="408">
      <c r="L408" s="10"/>
      <c r="R408" s="1"/>
    </row>
    <row r="409">
      <c r="L409" s="10"/>
      <c r="R409" s="1"/>
    </row>
    <row r="410">
      <c r="L410" s="10"/>
      <c r="R410" s="1"/>
    </row>
    <row r="411">
      <c r="L411" s="10"/>
      <c r="R411" s="1"/>
    </row>
    <row r="412">
      <c r="L412" s="10"/>
      <c r="R412" s="1"/>
    </row>
    <row r="413">
      <c r="L413" s="10"/>
      <c r="R413" s="1"/>
    </row>
    <row r="414">
      <c r="L414" s="10"/>
      <c r="R414" s="1"/>
    </row>
    <row r="415">
      <c r="L415" s="10"/>
      <c r="R415" s="1"/>
    </row>
    <row r="416">
      <c r="L416" s="10"/>
      <c r="R416" s="1"/>
    </row>
    <row r="417">
      <c r="L417" s="10"/>
      <c r="R417" s="1"/>
    </row>
    <row r="418">
      <c r="L418" s="10"/>
      <c r="R418" s="1"/>
    </row>
    <row r="419">
      <c r="L419" s="10"/>
      <c r="R419" s="1"/>
    </row>
    <row r="420">
      <c r="L420" s="10"/>
      <c r="R420" s="1"/>
    </row>
    <row r="421">
      <c r="L421" s="10"/>
      <c r="R421" s="1"/>
    </row>
    <row r="422">
      <c r="L422" s="10"/>
      <c r="R422" s="1"/>
    </row>
    <row r="423">
      <c r="L423" s="10"/>
      <c r="R423" s="1"/>
    </row>
    <row r="424">
      <c r="L424" s="10"/>
      <c r="R424" s="1"/>
    </row>
    <row r="425">
      <c r="L425" s="10"/>
      <c r="R425" s="1"/>
    </row>
    <row r="426">
      <c r="L426" s="10"/>
      <c r="R426" s="1"/>
    </row>
    <row r="427">
      <c r="L427" s="10"/>
      <c r="R427" s="1"/>
    </row>
    <row r="428">
      <c r="L428" s="10"/>
      <c r="R428" s="1"/>
    </row>
    <row r="429">
      <c r="L429" s="10"/>
      <c r="R429" s="1"/>
    </row>
    <row r="430">
      <c r="L430" s="10"/>
      <c r="R430" s="1"/>
    </row>
    <row r="431">
      <c r="L431" s="10"/>
      <c r="R431" s="1"/>
    </row>
    <row r="432">
      <c r="L432" s="10"/>
      <c r="R432" s="1"/>
    </row>
    <row r="433">
      <c r="L433" s="10"/>
      <c r="R433" s="1"/>
    </row>
    <row r="434">
      <c r="L434" s="10"/>
      <c r="R434" s="1"/>
    </row>
    <row r="435">
      <c r="L435" s="10"/>
      <c r="R435" s="1"/>
    </row>
    <row r="436">
      <c r="L436" s="10"/>
      <c r="R436" s="1"/>
    </row>
    <row r="437">
      <c r="L437" s="10"/>
      <c r="R437" s="1"/>
    </row>
    <row r="438">
      <c r="L438" s="10"/>
      <c r="R438" s="1"/>
    </row>
    <row r="439">
      <c r="L439" s="10"/>
      <c r="R439" s="1"/>
    </row>
    <row r="440">
      <c r="L440" s="10"/>
      <c r="R440" s="1"/>
    </row>
    <row r="441">
      <c r="L441" s="10"/>
      <c r="R441" s="1"/>
    </row>
    <row r="442">
      <c r="L442" s="10"/>
      <c r="R442" s="1"/>
    </row>
    <row r="443">
      <c r="L443" s="10"/>
      <c r="R443" s="1"/>
    </row>
    <row r="444">
      <c r="L444" s="10"/>
      <c r="R444" s="1"/>
    </row>
    <row r="445">
      <c r="L445" s="10"/>
      <c r="R445" s="1"/>
    </row>
    <row r="446">
      <c r="L446" s="10"/>
      <c r="R446" s="1"/>
    </row>
    <row r="447">
      <c r="L447" s="10"/>
      <c r="R447" s="1"/>
    </row>
    <row r="448">
      <c r="L448" s="10"/>
      <c r="R448" s="1"/>
    </row>
    <row r="449">
      <c r="L449" s="10"/>
      <c r="R449" s="1"/>
    </row>
    <row r="450">
      <c r="L450" s="10"/>
      <c r="R450" s="1"/>
    </row>
    <row r="451">
      <c r="L451" s="10"/>
      <c r="R451" s="1"/>
    </row>
    <row r="452">
      <c r="L452" s="10"/>
      <c r="R452" s="1"/>
    </row>
    <row r="453">
      <c r="L453" s="10"/>
      <c r="R453" s="1"/>
    </row>
    <row r="454">
      <c r="L454" s="10"/>
      <c r="R454" s="1"/>
    </row>
    <row r="455">
      <c r="L455" s="10"/>
      <c r="R455" s="1"/>
    </row>
    <row r="456">
      <c r="L456" s="10"/>
      <c r="R456" s="1"/>
    </row>
    <row r="457">
      <c r="L457" s="10"/>
      <c r="R457" s="1"/>
    </row>
    <row r="458">
      <c r="L458" s="10"/>
      <c r="R458" s="1"/>
    </row>
    <row r="459">
      <c r="L459" s="10"/>
      <c r="R459" s="1"/>
    </row>
    <row r="460">
      <c r="L460" s="10"/>
      <c r="R460" s="1"/>
    </row>
    <row r="461">
      <c r="L461" s="10"/>
      <c r="R461" s="1"/>
    </row>
    <row r="462">
      <c r="L462" s="10"/>
      <c r="R462" s="1"/>
    </row>
    <row r="463">
      <c r="L463" s="10"/>
      <c r="R463" s="1"/>
    </row>
    <row r="464">
      <c r="L464" s="10"/>
      <c r="R464" s="1"/>
    </row>
    <row r="465">
      <c r="L465" s="10"/>
      <c r="R465" s="1"/>
    </row>
    <row r="466">
      <c r="L466" s="10"/>
      <c r="R466" s="1"/>
    </row>
    <row r="467">
      <c r="L467" s="10"/>
      <c r="R467" s="1"/>
    </row>
    <row r="468">
      <c r="L468" s="10"/>
      <c r="R468" s="1"/>
    </row>
    <row r="469">
      <c r="L469" s="10"/>
      <c r="R469" s="1"/>
    </row>
    <row r="470">
      <c r="L470" s="10"/>
      <c r="R470" s="1"/>
    </row>
    <row r="471">
      <c r="L471" s="10"/>
      <c r="R471" s="1"/>
    </row>
    <row r="472">
      <c r="L472" s="10"/>
      <c r="R472" s="1"/>
    </row>
    <row r="473">
      <c r="L473" s="10"/>
      <c r="R473" s="1"/>
    </row>
    <row r="474">
      <c r="L474" s="10"/>
      <c r="R474" s="1"/>
    </row>
    <row r="475">
      <c r="L475" s="10"/>
      <c r="R475" s="1"/>
    </row>
    <row r="476">
      <c r="L476" s="10"/>
      <c r="R476" s="1"/>
    </row>
    <row r="477">
      <c r="L477" s="10"/>
      <c r="R477" s="1"/>
    </row>
    <row r="478">
      <c r="L478" s="10"/>
      <c r="R478" s="1"/>
    </row>
    <row r="479">
      <c r="L479" s="10"/>
      <c r="R479" s="1"/>
    </row>
    <row r="480">
      <c r="L480" s="10"/>
      <c r="R480" s="1"/>
    </row>
    <row r="481">
      <c r="L481" s="10"/>
      <c r="R481" s="1"/>
    </row>
    <row r="482">
      <c r="L482" s="10"/>
      <c r="R482" s="1"/>
    </row>
    <row r="483">
      <c r="L483" s="10"/>
      <c r="R483" s="1"/>
    </row>
    <row r="484">
      <c r="L484" s="10"/>
      <c r="R484" s="1"/>
    </row>
    <row r="485">
      <c r="L485" s="10"/>
      <c r="R485" s="1"/>
    </row>
    <row r="486">
      <c r="L486" s="10"/>
      <c r="R486" s="1"/>
    </row>
    <row r="487">
      <c r="L487" s="10"/>
      <c r="R487" s="1"/>
    </row>
    <row r="488">
      <c r="L488" s="10"/>
      <c r="R488" s="1"/>
    </row>
    <row r="489">
      <c r="L489" s="10"/>
      <c r="R489" s="1"/>
    </row>
    <row r="490">
      <c r="L490" s="10"/>
      <c r="R490" s="1"/>
    </row>
    <row r="491">
      <c r="L491" s="10"/>
      <c r="R491" s="1"/>
    </row>
    <row r="492">
      <c r="L492" s="10"/>
      <c r="R492" s="1"/>
    </row>
    <row r="493">
      <c r="L493" s="10"/>
      <c r="R493" s="1"/>
    </row>
    <row r="494">
      <c r="L494" s="10"/>
      <c r="R494" s="1"/>
    </row>
    <row r="495">
      <c r="L495" s="10"/>
      <c r="R495" s="1"/>
    </row>
    <row r="496">
      <c r="L496" s="10"/>
      <c r="R496" s="1"/>
    </row>
    <row r="497">
      <c r="L497" s="10"/>
      <c r="R497" s="1"/>
    </row>
    <row r="498">
      <c r="L498" s="10"/>
      <c r="R498" s="1"/>
    </row>
    <row r="499">
      <c r="L499" s="10"/>
      <c r="R499" s="1"/>
    </row>
    <row r="500">
      <c r="L500" s="10"/>
      <c r="R500" s="1"/>
    </row>
    <row r="501">
      <c r="L501" s="10"/>
      <c r="R501" s="1"/>
    </row>
    <row r="502">
      <c r="L502" s="10"/>
      <c r="R502" s="1"/>
    </row>
    <row r="503">
      <c r="L503" s="10"/>
      <c r="R503" s="1"/>
    </row>
    <row r="504">
      <c r="L504" s="10"/>
      <c r="R504" s="1"/>
    </row>
    <row r="505">
      <c r="L505" s="10"/>
      <c r="R505" s="1"/>
    </row>
    <row r="506">
      <c r="L506" s="10"/>
      <c r="R506" s="1"/>
    </row>
    <row r="507">
      <c r="L507" s="10"/>
      <c r="R507" s="1"/>
    </row>
    <row r="508">
      <c r="L508" s="10"/>
      <c r="R508" s="1"/>
    </row>
    <row r="509">
      <c r="L509" s="10"/>
      <c r="R509" s="1"/>
    </row>
    <row r="510">
      <c r="L510" s="10"/>
      <c r="R510" s="1"/>
    </row>
    <row r="511">
      <c r="L511" s="10"/>
      <c r="R511" s="1"/>
    </row>
    <row r="512">
      <c r="L512" s="10"/>
      <c r="R512" s="1"/>
    </row>
    <row r="513">
      <c r="L513" s="10"/>
      <c r="R513" s="1"/>
    </row>
    <row r="514">
      <c r="L514" s="10"/>
      <c r="R514" s="1"/>
    </row>
    <row r="515">
      <c r="L515" s="10"/>
      <c r="R515" s="1"/>
    </row>
    <row r="516">
      <c r="L516" s="10"/>
      <c r="R516" s="1"/>
    </row>
    <row r="517">
      <c r="L517" s="10"/>
      <c r="R517" s="1"/>
    </row>
    <row r="518">
      <c r="L518" s="10"/>
      <c r="R518" s="1"/>
    </row>
    <row r="519">
      <c r="L519" s="10"/>
      <c r="R519" s="1"/>
    </row>
    <row r="520">
      <c r="L520" s="10"/>
      <c r="R520" s="1"/>
    </row>
    <row r="521">
      <c r="L521" s="10"/>
      <c r="R521" s="1"/>
    </row>
    <row r="522">
      <c r="L522" s="10"/>
      <c r="R522" s="1"/>
    </row>
    <row r="523">
      <c r="L523" s="10"/>
      <c r="R523" s="1"/>
    </row>
    <row r="524">
      <c r="L524" s="10"/>
      <c r="R524" s="1"/>
    </row>
    <row r="525">
      <c r="L525" s="10"/>
      <c r="R525" s="1"/>
    </row>
    <row r="526">
      <c r="L526" s="10"/>
      <c r="R526" s="1"/>
    </row>
    <row r="527">
      <c r="L527" s="10"/>
      <c r="R527" s="1"/>
    </row>
    <row r="528">
      <c r="L528" s="10"/>
      <c r="R528" s="1"/>
    </row>
    <row r="529">
      <c r="L529" s="10"/>
      <c r="R529" s="1"/>
    </row>
    <row r="530">
      <c r="L530" s="10"/>
      <c r="R530" s="1"/>
    </row>
    <row r="531">
      <c r="L531" s="10"/>
      <c r="R531" s="1"/>
    </row>
    <row r="532">
      <c r="L532" s="10"/>
      <c r="R532" s="1"/>
    </row>
    <row r="533">
      <c r="L533" s="10"/>
      <c r="R533" s="1"/>
    </row>
    <row r="534">
      <c r="L534" s="10"/>
      <c r="R534" s="1"/>
    </row>
    <row r="535">
      <c r="L535" s="10"/>
      <c r="R535" s="1"/>
    </row>
    <row r="536">
      <c r="L536" s="10"/>
      <c r="R536" s="1"/>
    </row>
    <row r="537">
      <c r="L537" s="10"/>
      <c r="R537" s="1"/>
    </row>
    <row r="538">
      <c r="L538" s="10"/>
      <c r="R538" s="1"/>
    </row>
    <row r="539">
      <c r="L539" s="10"/>
      <c r="R539" s="1"/>
    </row>
    <row r="540">
      <c r="L540" s="10"/>
      <c r="R540" s="1"/>
    </row>
    <row r="541">
      <c r="L541" s="10"/>
      <c r="R541" s="1"/>
    </row>
    <row r="542">
      <c r="L542" s="10"/>
      <c r="R542" s="1"/>
    </row>
    <row r="543">
      <c r="L543" s="10"/>
      <c r="R543" s="1"/>
    </row>
    <row r="544">
      <c r="L544" s="10"/>
      <c r="R544" s="1"/>
    </row>
    <row r="545">
      <c r="L545" s="10"/>
      <c r="R545" s="1"/>
    </row>
    <row r="546">
      <c r="L546" s="10"/>
      <c r="R546" s="1"/>
    </row>
    <row r="547">
      <c r="L547" s="10"/>
      <c r="R547" s="1"/>
    </row>
    <row r="548">
      <c r="L548" s="10"/>
      <c r="R548" s="1"/>
    </row>
    <row r="549">
      <c r="L549" s="10"/>
      <c r="R549" s="1"/>
    </row>
    <row r="550">
      <c r="L550" s="10"/>
      <c r="R550" s="1"/>
    </row>
    <row r="551">
      <c r="L551" s="10"/>
      <c r="R551" s="1"/>
    </row>
    <row r="552">
      <c r="L552" s="10"/>
      <c r="R552" s="1"/>
    </row>
    <row r="553">
      <c r="L553" s="10"/>
      <c r="R553" s="1"/>
    </row>
    <row r="554">
      <c r="L554" s="10"/>
      <c r="R554" s="1"/>
    </row>
    <row r="555">
      <c r="L555" s="10"/>
      <c r="R555" s="1"/>
    </row>
    <row r="556">
      <c r="L556" s="10"/>
      <c r="R556" s="1"/>
    </row>
    <row r="557">
      <c r="L557" s="10"/>
      <c r="R557" s="1"/>
    </row>
    <row r="558">
      <c r="L558" s="10"/>
      <c r="R558" s="1"/>
    </row>
    <row r="559">
      <c r="L559" s="10"/>
      <c r="R559" s="1"/>
    </row>
    <row r="560">
      <c r="L560" s="10"/>
      <c r="R560" s="1"/>
    </row>
    <row r="561">
      <c r="L561" s="10"/>
      <c r="R561" s="1"/>
    </row>
    <row r="562">
      <c r="L562" s="10"/>
      <c r="R562" s="1"/>
    </row>
    <row r="563">
      <c r="L563" s="10"/>
      <c r="R563" s="1"/>
    </row>
    <row r="564">
      <c r="L564" s="10"/>
      <c r="R564" s="1"/>
    </row>
    <row r="565">
      <c r="L565" s="10"/>
      <c r="R565" s="1"/>
    </row>
    <row r="566">
      <c r="L566" s="10"/>
      <c r="R566" s="1"/>
    </row>
    <row r="567">
      <c r="L567" s="10"/>
      <c r="R567" s="1"/>
    </row>
    <row r="568">
      <c r="L568" s="10"/>
      <c r="R568" s="1"/>
    </row>
    <row r="569">
      <c r="L569" s="10"/>
      <c r="R569" s="1"/>
    </row>
    <row r="570">
      <c r="L570" s="10"/>
      <c r="R570" s="1"/>
    </row>
    <row r="571">
      <c r="L571" s="10"/>
      <c r="R571" s="1"/>
    </row>
    <row r="572">
      <c r="L572" s="10"/>
      <c r="R572" s="1"/>
    </row>
    <row r="573">
      <c r="L573" s="10"/>
      <c r="R573" s="1"/>
    </row>
    <row r="574">
      <c r="L574" s="10"/>
      <c r="R574" s="1"/>
    </row>
    <row r="575">
      <c r="L575" s="10"/>
      <c r="R575" s="1"/>
    </row>
    <row r="576">
      <c r="L576" s="10"/>
      <c r="R576" s="1"/>
    </row>
    <row r="577">
      <c r="L577" s="10"/>
      <c r="R577" s="1"/>
    </row>
    <row r="578">
      <c r="L578" s="10"/>
      <c r="R578" s="1"/>
    </row>
    <row r="579">
      <c r="L579" s="10"/>
      <c r="R579" s="1"/>
    </row>
    <row r="580">
      <c r="L580" s="10"/>
      <c r="R580" s="1"/>
    </row>
    <row r="581">
      <c r="L581" s="10"/>
      <c r="R581" s="1"/>
    </row>
    <row r="582">
      <c r="L582" s="10"/>
      <c r="R582" s="1"/>
    </row>
    <row r="583">
      <c r="L583" s="10"/>
      <c r="R583" s="1"/>
    </row>
    <row r="584">
      <c r="L584" s="10"/>
      <c r="R584" s="1"/>
    </row>
    <row r="585">
      <c r="L585" s="10"/>
      <c r="R585" s="1"/>
    </row>
    <row r="586">
      <c r="L586" s="10"/>
      <c r="R586" s="1"/>
    </row>
    <row r="587">
      <c r="L587" s="10"/>
      <c r="R587" s="1"/>
    </row>
    <row r="588">
      <c r="L588" s="10"/>
      <c r="R588" s="1"/>
    </row>
    <row r="589">
      <c r="L589" s="10"/>
      <c r="R589" s="1"/>
    </row>
    <row r="590">
      <c r="L590" s="10"/>
      <c r="R590" s="1"/>
    </row>
    <row r="591">
      <c r="L591" s="10"/>
      <c r="R591" s="1"/>
    </row>
    <row r="592">
      <c r="L592" s="10"/>
      <c r="R592" s="1"/>
    </row>
    <row r="593">
      <c r="L593" s="10"/>
      <c r="R593" s="1"/>
    </row>
    <row r="594">
      <c r="L594" s="10"/>
      <c r="R594" s="1"/>
    </row>
    <row r="595">
      <c r="L595" s="10"/>
      <c r="R595" s="1"/>
    </row>
    <row r="596">
      <c r="L596" s="10"/>
      <c r="R596" s="1"/>
    </row>
    <row r="597">
      <c r="L597" s="10"/>
      <c r="R597" s="1"/>
    </row>
    <row r="598">
      <c r="L598" s="10"/>
      <c r="R598" s="1"/>
    </row>
    <row r="599">
      <c r="L599" s="10"/>
      <c r="R599" s="1"/>
    </row>
    <row r="600">
      <c r="L600" s="10"/>
      <c r="R600" s="1"/>
    </row>
    <row r="601">
      <c r="L601" s="10"/>
      <c r="R601" s="1"/>
    </row>
    <row r="602">
      <c r="L602" s="10"/>
      <c r="R602" s="1"/>
    </row>
    <row r="603">
      <c r="L603" s="10"/>
      <c r="R603" s="1"/>
    </row>
    <row r="604">
      <c r="L604" s="10"/>
      <c r="R604" s="1"/>
    </row>
    <row r="605">
      <c r="L605" s="10"/>
      <c r="R605" s="1"/>
    </row>
    <row r="606">
      <c r="L606" s="10"/>
      <c r="R606" s="1"/>
    </row>
    <row r="607">
      <c r="L607" s="10"/>
      <c r="R607" s="1"/>
    </row>
    <row r="608">
      <c r="L608" s="10"/>
      <c r="R608" s="1"/>
    </row>
    <row r="609">
      <c r="L609" s="10"/>
      <c r="R609" s="1"/>
    </row>
    <row r="610">
      <c r="L610" s="10"/>
      <c r="R610" s="1"/>
    </row>
    <row r="611">
      <c r="L611" s="10"/>
      <c r="R611" s="1"/>
    </row>
    <row r="612">
      <c r="L612" s="10"/>
      <c r="R612" s="1"/>
    </row>
    <row r="613">
      <c r="L613" s="10"/>
      <c r="R613" s="1"/>
    </row>
    <row r="614">
      <c r="L614" s="10"/>
      <c r="R614" s="1"/>
    </row>
    <row r="615">
      <c r="L615" s="10"/>
      <c r="R615" s="1"/>
    </row>
    <row r="616">
      <c r="L616" s="10"/>
      <c r="R616" s="1"/>
    </row>
    <row r="617">
      <c r="L617" s="10"/>
      <c r="R617" s="1"/>
    </row>
    <row r="618">
      <c r="L618" s="10"/>
      <c r="R618" s="1"/>
    </row>
    <row r="619">
      <c r="L619" s="10"/>
      <c r="R619" s="1"/>
    </row>
    <row r="620">
      <c r="L620" s="10"/>
      <c r="R620" s="1"/>
    </row>
    <row r="621">
      <c r="L621" s="10"/>
      <c r="R621" s="1"/>
    </row>
    <row r="622">
      <c r="L622" s="10"/>
      <c r="R622" s="1"/>
    </row>
    <row r="623">
      <c r="L623" s="10"/>
      <c r="R623" s="1"/>
    </row>
    <row r="624">
      <c r="L624" s="10"/>
      <c r="R624" s="1"/>
    </row>
    <row r="625">
      <c r="L625" s="10"/>
      <c r="R625" s="1"/>
    </row>
    <row r="626">
      <c r="L626" s="10"/>
      <c r="R626" s="1"/>
    </row>
    <row r="627">
      <c r="L627" s="10"/>
      <c r="R627" s="1"/>
    </row>
    <row r="628">
      <c r="L628" s="10"/>
      <c r="R628" s="1"/>
    </row>
    <row r="629">
      <c r="L629" s="10"/>
      <c r="R629" s="1"/>
    </row>
    <row r="630">
      <c r="L630" s="10"/>
      <c r="R630" s="1"/>
    </row>
    <row r="631">
      <c r="L631" s="10"/>
      <c r="R631" s="1"/>
    </row>
    <row r="632">
      <c r="L632" s="10"/>
      <c r="R632" s="1"/>
    </row>
    <row r="633">
      <c r="L633" s="10"/>
      <c r="R633" s="1"/>
    </row>
    <row r="634">
      <c r="L634" s="10"/>
      <c r="R634" s="1"/>
    </row>
    <row r="635">
      <c r="L635" s="10"/>
      <c r="R635" s="1"/>
    </row>
    <row r="636">
      <c r="L636" s="10"/>
      <c r="R636" s="1"/>
    </row>
    <row r="637">
      <c r="L637" s="10"/>
      <c r="R637" s="1"/>
    </row>
    <row r="638">
      <c r="L638" s="10"/>
      <c r="R638" s="1"/>
    </row>
    <row r="639">
      <c r="L639" s="10"/>
      <c r="R639" s="1"/>
    </row>
    <row r="640">
      <c r="L640" s="10"/>
      <c r="R640" s="1"/>
    </row>
    <row r="641">
      <c r="L641" s="10"/>
      <c r="R641" s="1"/>
    </row>
    <row r="642">
      <c r="L642" s="10"/>
      <c r="R642" s="1"/>
    </row>
    <row r="643">
      <c r="L643" s="10"/>
      <c r="R643" s="1"/>
    </row>
    <row r="644">
      <c r="L644" s="10"/>
      <c r="R644" s="1"/>
    </row>
    <row r="645">
      <c r="L645" s="10"/>
      <c r="R645" s="1"/>
    </row>
    <row r="646">
      <c r="L646" s="10"/>
      <c r="R646" s="1"/>
    </row>
    <row r="647">
      <c r="L647" s="10"/>
      <c r="R647" s="1"/>
    </row>
    <row r="648">
      <c r="L648" s="10"/>
      <c r="R648" s="1"/>
    </row>
    <row r="649">
      <c r="L649" s="10"/>
      <c r="R649" s="1"/>
    </row>
    <row r="650">
      <c r="L650" s="10"/>
      <c r="R650" s="1"/>
    </row>
    <row r="651">
      <c r="L651" s="10"/>
      <c r="R651" s="1"/>
    </row>
    <row r="652">
      <c r="L652" s="10"/>
      <c r="R652" s="1"/>
    </row>
    <row r="653">
      <c r="L653" s="10"/>
      <c r="R653" s="1"/>
    </row>
    <row r="654">
      <c r="L654" s="10"/>
      <c r="R654" s="1"/>
    </row>
    <row r="655">
      <c r="L655" s="10"/>
      <c r="R655" s="1"/>
    </row>
    <row r="656">
      <c r="L656" s="10"/>
      <c r="R656" s="1"/>
    </row>
    <row r="657">
      <c r="L657" s="10"/>
      <c r="R657" s="1"/>
    </row>
    <row r="658">
      <c r="L658" s="10"/>
      <c r="R658" s="1"/>
    </row>
    <row r="659">
      <c r="L659" s="10"/>
      <c r="R659" s="1"/>
    </row>
    <row r="660">
      <c r="L660" s="10"/>
      <c r="R660" s="1"/>
    </row>
    <row r="661">
      <c r="L661" s="10"/>
      <c r="R661" s="1"/>
    </row>
    <row r="662">
      <c r="L662" s="10"/>
      <c r="R662" s="1"/>
    </row>
    <row r="663">
      <c r="L663" s="10"/>
      <c r="R663" s="1"/>
    </row>
    <row r="664">
      <c r="L664" s="10"/>
      <c r="R664" s="1"/>
    </row>
    <row r="665">
      <c r="L665" s="10"/>
      <c r="R665" s="1"/>
    </row>
    <row r="666">
      <c r="L666" s="10"/>
      <c r="R666" s="1"/>
    </row>
    <row r="667">
      <c r="L667" s="10"/>
      <c r="R667" s="1"/>
    </row>
    <row r="668">
      <c r="L668" s="10"/>
      <c r="R668" s="1"/>
    </row>
    <row r="669">
      <c r="L669" s="10"/>
      <c r="R669" s="1"/>
    </row>
    <row r="670">
      <c r="L670" s="10"/>
      <c r="R670" s="1"/>
    </row>
    <row r="671">
      <c r="L671" s="10"/>
      <c r="R671" s="1"/>
    </row>
    <row r="672">
      <c r="L672" s="10"/>
      <c r="R672" s="1"/>
    </row>
    <row r="673">
      <c r="L673" s="10"/>
      <c r="R673" s="1"/>
    </row>
    <row r="674">
      <c r="L674" s="10"/>
      <c r="R674" s="1"/>
    </row>
    <row r="675">
      <c r="L675" s="10"/>
      <c r="R675" s="1"/>
    </row>
    <row r="676">
      <c r="L676" s="10"/>
      <c r="R676" s="1"/>
    </row>
    <row r="677">
      <c r="L677" s="10"/>
      <c r="R677" s="1"/>
    </row>
    <row r="678">
      <c r="L678" s="10"/>
      <c r="R678" s="1"/>
    </row>
    <row r="679">
      <c r="L679" s="10"/>
      <c r="R679" s="1"/>
    </row>
    <row r="680">
      <c r="L680" s="10"/>
      <c r="R680" s="1"/>
    </row>
    <row r="681">
      <c r="L681" s="10"/>
      <c r="R681" s="1"/>
    </row>
    <row r="682">
      <c r="L682" s="10"/>
      <c r="R682" s="1"/>
    </row>
    <row r="683">
      <c r="L683" s="10"/>
      <c r="R683" s="1"/>
    </row>
    <row r="684">
      <c r="L684" s="10"/>
      <c r="R684" s="1"/>
    </row>
    <row r="685">
      <c r="L685" s="10"/>
      <c r="R685" s="1"/>
    </row>
    <row r="686">
      <c r="L686" s="10"/>
      <c r="R686" s="1"/>
    </row>
    <row r="687">
      <c r="L687" s="10"/>
      <c r="R687" s="1"/>
    </row>
    <row r="688">
      <c r="L688" s="10"/>
      <c r="R688" s="1"/>
    </row>
    <row r="689">
      <c r="L689" s="10"/>
      <c r="R689" s="1"/>
    </row>
    <row r="690">
      <c r="L690" s="10"/>
      <c r="R690" s="1"/>
    </row>
    <row r="691">
      <c r="L691" s="10"/>
      <c r="R691" s="1"/>
    </row>
    <row r="692">
      <c r="L692" s="10"/>
      <c r="R692" s="1"/>
    </row>
    <row r="693">
      <c r="L693" s="10"/>
      <c r="R693" s="1"/>
    </row>
    <row r="694">
      <c r="L694" s="10"/>
      <c r="R694" s="1"/>
    </row>
    <row r="695">
      <c r="L695" s="10"/>
      <c r="R695" s="1"/>
    </row>
    <row r="696">
      <c r="L696" s="10"/>
      <c r="R696" s="1"/>
    </row>
    <row r="697">
      <c r="L697" s="10"/>
      <c r="R697" s="1"/>
    </row>
    <row r="698">
      <c r="L698" s="10"/>
      <c r="R698" s="1"/>
    </row>
    <row r="699">
      <c r="L699" s="10"/>
      <c r="R699" s="1"/>
    </row>
    <row r="700">
      <c r="L700" s="10"/>
      <c r="R700" s="1"/>
    </row>
    <row r="701">
      <c r="L701" s="10"/>
      <c r="R701" s="1"/>
    </row>
    <row r="702">
      <c r="L702" s="10"/>
      <c r="R702" s="1"/>
    </row>
    <row r="703">
      <c r="L703" s="10"/>
      <c r="R703" s="1"/>
    </row>
    <row r="704">
      <c r="L704" s="10"/>
      <c r="R704" s="1"/>
    </row>
    <row r="705">
      <c r="L705" s="10"/>
      <c r="R705" s="1"/>
    </row>
    <row r="706">
      <c r="L706" s="10"/>
      <c r="R706" s="1"/>
    </row>
    <row r="707">
      <c r="L707" s="10"/>
      <c r="R707" s="1"/>
    </row>
    <row r="708">
      <c r="L708" s="10"/>
      <c r="R708" s="1"/>
    </row>
    <row r="709">
      <c r="L709" s="10"/>
      <c r="R709" s="1"/>
    </row>
    <row r="710">
      <c r="L710" s="10"/>
      <c r="R710" s="1"/>
    </row>
    <row r="711">
      <c r="L711" s="10"/>
      <c r="R711" s="1"/>
    </row>
    <row r="712">
      <c r="L712" s="10"/>
      <c r="R712" s="1"/>
    </row>
    <row r="713">
      <c r="L713" s="10"/>
      <c r="R713" s="1"/>
    </row>
    <row r="714">
      <c r="L714" s="10"/>
      <c r="R714" s="1"/>
    </row>
    <row r="715">
      <c r="L715" s="10"/>
      <c r="R715" s="1"/>
    </row>
    <row r="716">
      <c r="L716" s="10"/>
      <c r="R716" s="1"/>
    </row>
    <row r="717">
      <c r="L717" s="10"/>
      <c r="R717" s="1"/>
    </row>
    <row r="718">
      <c r="L718" s="10"/>
      <c r="R718" s="1"/>
    </row>
    <row r="719">
      <c r="L719" s="10"/>
      <c r="R719" s="1"/>
    </row>
    <row r="720">
      <c r="L720" s="10"/>
      <c r="R720" s="1"/>
    </row>
    <row r="721">
      <c r="L721" s="10"/>
      <c r="R721" s="1"/>
    </row>
    <row r="722">
      <c r="L722" s="10"/>
      <c r="R722" s="1"/>
    </row>
    <row r="723">
      <c r="L723" s="10"/>
      <c r="R723" s="1"/>
    </row>
    <row r="724">
      <c r="L724" s="10"/>
      <c r="R724" s="1"/>
    </row>
    <row r="725">
      <c r="L725" s="10"/>
      <c r="R725" s="1"/>
    </row>
    <row r="726">
      <c r="L726" s="10"/>
      <c r="R726" s="1"/>
    </row>
    <row r="727">
      <c r="L727" s="10"/>
      <c r="R727" s="1"/>
    </row>
    <row r="728">
      <c r="L728" s="10"/>
      <c r="R728" s="1"/>
    </row>
    <row r="729">
      <c r="L729" s="10"/>
      <c r="R729" s="1"/>
    </row>
    <row r="730">
      <c r="L730" s="10"/>
      <c r="R730" s="1"/>
    </row>
    <row r="731">
      <c r="L731" s="10"/>
      <c r="R731" s="1"/>
    </row>
    <row r="732">
      <c r="L732" s="10"/>
      <c r="R732" s="1"/>
    </row>
    <row r="733">
      <c r="L733" s="10"/>
      <c r="R733" s="1"/>
    </row>
    <row r="734">
      <c r="L734" s="10"/>
      <c r="R734" s="1"/>
    </row>
    <row r="735">
      <c r="L735" s="10"/>
      <c r="R735" s="1"/>
    </row>
    <row r="736">
      <c r="L736" s="10"/>
      <c r="R736" s="1"/>
    </row>
    <row r="737">
      <c r="L737" s="10"/>
      <c r="R737" s="1"/>
    </row>
    <row r="738">
      <c r="L738" s="10"/>
      <c r="R738" s="1"/>
    </row>
    <row r="739">
      <c r="L739" s="10"/>
      <c r="R739" s="1"/>
    </row>
    <row r="740">
      <c r="L740" s="10"/>
      <c r="R740" s="1"/>
    </row>
    <row r="741">
      <c r="L741" s="10"/>
      <c r="R741" s="1"/>
    </row>
    <row r="742">
      <c r="L742" s="10"/>
      <c r="R742" s="1"/>
    </row>
    <row r="743">
      <c r="L743" s="10"/>
      <c r="R743" s="1"/>
    </row>
    <row r="744">
      <c r="L744" s="10"/>
      <c r="R744" s="1"/>
    </row>
    <row r="745">
      <c r="L745" s="10"/>
      <c r="R745" s="1"/>
    </row>
    <row r="746">
      <c r="L746" s="10"/>
      <c r="R746" s="1"/>
    </row>
    <row r="747">
      <c r="L747" s="10"/>
      <c r="R747" s="1"/>
    </row>
    <row r="748">
      <c r="L748" s="10"/>
      <c r="R748" s="1"/>
    </row>
    <row r="749">
      <c r="L749" s="10"/>
      <c r="R749" s="1"/>
    </row>
    <row r="750">
      <c r="L750" s="10"/>
      <c r="R750" s="1"/>
    </row>
    <row r="751">
      <c r="L751" s="10"/>
      <c r="R751" s="1"/>
    </row>
    <row r="752">
      <c r="L752" s="10"/>
      <c r="R752" s="1"/>
    </row>
    <row r="753">
      <c r="L753" s="10"/>
      <c r="R753" s="1"/>
    </row>
    <row r="754">
      <c r="L754" s="10"/>
      <c r="R754" s="1"/>
    </row>
    <row r="755">
      <c r="L755" s="10"/>
      <c r="R755" s="1"/>
    </row>
    <row r="756">
      <c r="L756" s="10"/>
      <c r="R756" s="1"/>
    </row>
    <row r="757">
      <c r="L757" s="10"/>
      <c r="R757" s="1"/>
    </row>
    <row r="758">
      <c r="L758" s="10"/>
      <c r="R758" s="1"/>
    </row>
    <row r="759">
      <c r="L759" s="10"/>
      <c r="R759" s="1"/>
    </row>
    <row r="760">
      <c r="L760" s="10"/>
      <c r="R760" s="1"/>
    </row>
    <row r="761">
      <c r="L761" s="10"/>
      <c r="R761" s="1"/>
    </row>
    <row r="762">
      <c r="L762" s="10"/>
      <c r="R762" s="1"/>
    </row>
    <row r="763">
      <c r="L763" s="10"/>
      <c r="R763" s="1"/>
    </row>
    <row r="764">
      <c r="L764" s="10"/>
      <c r="R764" s="1"/>
    </row>
    <row r="765">
      <c r="L765" s="10"/>
      <c r="R765" s="1"/>
    </row>
    <row r="766">
      <c r="L766" s="10"/>
      <c r="R766" s="1"/>
    </row>
    <row r="767">
      <c r="L767" s="10"/>
      <c r="R767" s="1"/>
    </row>
    <row r="768">
      <c r="L768" s="10"/>
      <c r="R768" s="1"/>
    </row>
    <row r="769">
      <c r="L769" s="10"/>
      <c r="R769" s="1"/>
    </row>
    <row r="770">
      <c r="L770" s="10"/>
      <c r="R770" s="1"/>
    </row>
    <row r="771">
      <c r="L771" s="10"/>
      <c r="R771" s="1"/>
    </row>
    <row r="772">
      <c r="L772" s="10"/>
      <c r="R772" s="1"/>
    </row>
    <row r="773">
      <c r="L773" s="10"/>
      <c r="R773" s="1"/>
    </row>
    <row r="774">
      <c r="L774" s="10"/>
      <c r="R774" s="1"/>
    </row>
    <row r="775">
      <c r="L775" s="10"/>
      <c r="R775" s="1"/>
    </row>
    <row r="776">
      <c r="L776" s="10"/>
      <c r="R776" s="1"/>
    </row>
    <row r="777">
      <c r="L777" s="10"/>
      <c r="R777" s="1"/>
    </row>
    <row r="778">
      <c r="L778" s="10"/>
      <c r="R778" s="1"/>
    </row>
    <row r="779">
      <c r="L779" s="10"/>
      <c r="R779" s="1"/>
    </row>
    <row r="780">
      <c r="L780" s="10"/>
      <c r="R780" s="1"/>
    </row>
    <row r="781">
      <c r="L781" s="10"/>
      <c r="R781" s="1"/>
    </row>
    <row r="782">
      <c r="L782" s="10"/>
      <c r="R782" s="1"/>
    </row>
    <row r="783">
      <c r="L783" s="10"/>
      <c r="R783" s="1"/>
    </row>
    <row r="784">
      <c r="L784" s="10"/>
      <c r="R784" s="1"/>
    </row>
    <row r="785">
      <c r="L785" s="10"/>
      <c r="R785" s="1"/>
    </row>
    <row r="786">
      <c r="L786" s="10"/>
      <c r="R786" s="1"/>
    </row>
    <row r="787">
      <c r="L787" s="10"/>
      <c r="R787" s="1"/>
    </row>
    <row r="788">
      <c r="L788" s="10"/>
      <c r="R788" s="1"/>
    </row>
    <row r="789">
      <c r="L789" s="10"/>
      <c r="R789" s="1"/>
    </row>
    <row r="790">
      <c r="L790" s="10"/>
      <c r="R790" s="1"/>
    </row>
    <row r="791">
      <c r="L791" s="10"/>
      <c r="R791" s="1"/>
    </row>
    <row r="792">
      <c r="L792" s="10"/>
      <c r="R792" s="1"/>
    </row>
    <row r="793">
      <c r="L793" s="10"/>
      <c r="R793" s="1"/>
    </row>
    <row r="794">
      <c r="L794" s="10"/>
      <c r="R794" s="1"/>
    </row>
    <row r="795">
      <c r="L795" s="10"/>
      <c r="R795" s="1"/>
    </row>
    <row r="796">
      <c r="L796" s="10"/>
      <c r="R796" s="1"/>
    </row>
    <row r="797">
      <c r="L797" s="10"/>
      <c r="R797" s="1"/>
    </row>
    <row r="798">
      <c r="L798" s="10"/>
      <c r="R798" s="1"/>
    </row>
    <row r="799">
      <c r="L799" s="10"/>
      <c r="R799" s="1"/>
    </row>
    <row r="800">
      <c r="L800" s="10"/>
      <c r="R800" s="1"/>
    </row>
    <row r="801">
      <c r="L801" s="10"/>
      <c r="R801" s="1"/>
    </row>
    <row r="802">
      <c r="L802" s="10"/>
      <c r="R802" s="1"/>
    </row>
    <row r="803">
      <c r="L803" s="10"/>
      <c r="R803" s="1"/>
    </row>
    <row r="804">
      <c r="L804" s="10"/>
      <c r="R804" s="1"/>
    </row>
    <row r="805">
      <c r="L805" s="10"/>
      <c r="R805" s="1"/>
    </row>
    <row r="806">
      <c r="L806" s="10"/>
      <c r="R806" s="1"/>
    </row>
    <row r="807">
      <c r="L807" s="10"/>
      <c r="R807" s="1"/>
    </row>
    <row r="808">
      <c r="L808" s="10"/>
      <c r="R808" s="1"/>
    </row>
    <row r="809">
      <c r="L809" s="10"/>
      <c r="R809" s="1"/>
    </row>
    <row r="810">
      <c r="L810" s="10"/>
      <c r="R810" s="1"/>
    </row>
    <row r="811">
      <c r="L811" s="10"/>
      <c r="R811" s="1"/>
    </row>
    <row r="812">
      <c r="L812" s="10"/>
      <c r="R812" s="1"/>
    </row>
    <row r="813">
      <c r="L813" s="10"/>
      <c r="R813" s="1"/>
    </row>
    <row r="814">
      <c r="L814" s="10"/>
      <c r="R814" s="1"/>
    </row>
    <row r="815">
      <c r="L815" s="10"/>
      <c r="R815" s="1"/>
    </row>
    <row r="816">
      <c r="L816" s="10"/>
      <c r="R816" s="1"/>
    </row>
    <row r="817">
      <c r="L817" s="10"/>
      <c r="R817" s="1"/>
    </row>
    <row r="818">
      <c r="L818" s="10"/>
      <c r="R818" s="1"/>
    </row>
    <row r="819">
      <c r="L819" s="10"/>
      <c r="R819" s="1"/>
    </row>
    <row r="820">
      <c r="L820" s="10"/>
      <c r="R820" s="1"/>
    </row>
    <row r="821">
      <c r="L821" s="10"/>
      <c r="R821" s="1"/>
    </row>
    <row r="822">
      <c r="L822" s="10"/>
      <c r="R822" s="1"/>
    </row>
    <row r="823">
      <c r="L823" s="10"/>
      <c r="R823" s="1"/>
    </row>
    <row r="824">
      <c r="L824" s="10"/>
      <c r="R824" s="1"/>
    </row>
    <row r="825">
      <c r="L825" s="10"/>
      <c r="R825" s="1"/>
    </row>
    <row r="826">
      <c r="L826" s="10"/>
      <c r="R826" s="1"/>
    </row>
    <row r="827">
      <c r="L827" s="10"/>
      <c r="R827" s="1"/>
    </row>
    <row r="828">
      <c r="L828" s="10"/>
      <c r="R828" s="1"/>
    </row>
    <row r="829">
      <c r="L829" s="10"/>
      <c r="R829" s="1"/>
    </row>
    <row r="830">
      <c r="L830" s="10"/>
      <c r="R830" s="1"/>
    </row>
    <row r="831">
      <c r="L831" s="10"/>
      <c r="R831" s="1"/>
    </row>
    <row r="832">
      <c r="L832" s="10"/>
      <c r="R832" s="1"/>
    </row>
    <row r="833">
      <c r="L833" s="10"/>
      <c r="R833" s="1"/>
    </row>
    <row r="834">
      <c r="L834" s="10"/>
      <c r="R834" s="1"/>
    </row>
    <row r="835">
      <c r="L835" s="10"/>
      <c r="R835" s="1"/>
    </row>
    <row r="836">
      <c r="L836" s="10"/>
      <c r="R836" s="1"/>
    </row>
    <row r="837">
      <c r="L837" s="10"/>
      <c r="R837" s="1"/>
    </row>
    <row r="838">
      <c r="L838" s="10"/>
      <c r="R838" s="1"/>
    </row>
    <row r="839">
      <c r="L839" s="10"/>
      <c r="R839" s="1"/>
    </row>
    <row r="840">
      <c r="L840" s="10"/>
      <c r="R840" s="1"/>
    </row>
    <row r="841">
      <c r="L841" s="10"/>
      <c r="R841" s="1"/>
    </row>
    <row r="842">
      <c r="L842" s="10"/>
      <c r="R842" s="1"/>
    </row>
    <row r="843">
      <c r="L843" s="10"/>
      <c r="R843" s="1"/>
    </row>
    <row r="844">
      <c r="L844" s="10"/>
      <c r="R844" s="1"/>
    </row>
    <row r="845">
      <c r="L845" s="10"/>
      <c r="R845" s="1"/>
    </row>
    <row r="846">
      <c r="L846" s="10"/>
      <c r="R846" s="1"/>
    </row>
    <row r="847">
      <c r="L847" s="10"/>
      <c r="R847" s="1"/>
    </row>
    <row r="848">
      <c r="L848" s="10"/>
      <c r="R848" s="1"/>
    </row>
    <row r="849">
      <c r="L849" s="10"/>
      <c r="R849" s="1"/>
    </row>
    <row r="850">
      <c r="L850" s="10"/>
      <c r="R850" s="1"/>
    </row>
    <row r="851">
      <c r="L851" s="10"/>
      <c r="R851" s="1"/>
    </row>
    <row r="852">
      <c r="L852" s="10"/>
      <c r="R852" s="1"/>
    </row>
    <row r="853">
      <c r="L853" s="10"/>
      <c r="R853" s="1"/>
    </row>
    <row r="854">
      <c r="L854" s="10"/>
      <c r="R854" s="1"/>
    </row>
    <row r="855">
      <c r="L855" s="10"/>
      <c r="R855" s="1"/>
    </row>
    <row r="856">
      <c r="L856" s="10"/>
      <c r="R856" s="1"/>
    </row>
    <row r="857">
      <c r="L857" s="10"/>
      <c r="R857" s="1"/>
    </row>
    <row r="858">
      <c r="L858" s="10"/>
      <c r="R858" s="1"/>
    </row>
    <row r="859">
      <c r="L859" s="10"/>
      <c r="R859" s="1"/>
    </row>
    <row r="860">
      <c r="L860" s="10"/>
      <c r="R860" s="1"/>
    </row>
    <row r="861">
      <c r="L861" s="10"/>
      <c r="R861" s="1"/>
    </row>
    <row r="862">
      <c r="L862" s="10"/>
      <c r="R862" s="1"/>
    </row>
    <row r="863">
      <c r="L863" s="10"/>
      <c r="R863" s="1"/>
    </row>
    <row r="864">
      <c r="L864" s="10"/>
      <c r="R864" s="1"/>
    </row>
    <row r="865">
      <c r="L865" s="10"/>
      <c r="R865" s="1"/>
    </row>
    <row r="866">
      <c r="L866" s="10"/>
      <c r="R866" s="1"/>
    </row>
    <row r="867">
      <c r="L867" s="10"/>
      <c r="R867" s="1"/>
    </row>
    <row r="868">
      <c r="L868" s="10"/>
      <c r="R868" s="1"/>
    </row>
    <row r="869">
      <c r="L869" s="10"/>
      <c r="R869" s="1"/>
    </row>
    <row r="870">
      <c r="L870" s="10"/>
      <c r="R870" s="1"/>
    </row>
    <row r="871">
      <c r="L871" s="10"/>
      <c r="R871" s="1"/>
    </row>
    <row r="872">
      <c r="L872" s="10"/>
      <c r="R872" s="1"/>
    </row>
    <row r="873">
      <c r="L873" s="10"/>
      <c r="R873" s="1"/>
    </row>
    <row r="874">
      <c r="L874" s="10"/>
      <c r="R874" s="1"/>
    </row>
    <row r="875">
      <c r="L875" s="10"/>
      <c r="R875" s="1"/>
    </row>
    <row r="876">
      <c r="L876" s="10"/>
      <c r="R876" s="1"/>
    </row>
    <row r="877">
      <c r="L877" s="10"/>
      <c r="R877" s="1"/>
    </row>
    <row r="878">
      <c r="L878" s="10"/>
      <c r="R878" s="1"/>
    </row>
    <row r="879">
      <c r="L879" s="10"/>
      <c r="R879" s="1"/>
    </row>
    <row r="880">
      <c r="L880" s="10"/>
      <c r="R880" s="1"/>
    </row>
    <row r="881">
      <c r="L881" s="10"/>
      <c r="R881" s="1"/>
    </row>
    <row r="882">
      <c r="L882" s="10"/>
      <c r="R882" s="1"/>
    </row>
    <row r="883">
      <c r="L883" s="10"/>
      <c r="R883" s="1"/>
    </row>
    <row r="884">
      <c r="L884" s="10"/>
      <c r="R884" s="1"/>
    </row>
    <row r="885">
      <c r="L885" s="10"/>
      <c r="R885" s="1"/>
    </row>
    <row r="886">
      <c r="L886" s="10"/>
      <c r="R886" s="1"/>
    </row>
    <row r="887">
      <c r="L887" s="10"/>
      <c r="R887" s="1"/>
    </row>
    <row r="888">
      <c r="L888" s="10"/>
      <c r="R888" s="1"/>
    </row>
    <row r="889">
      <c r="L889" s="10"/>
      <c r="R889" s="1"/>
    </row>
    <row r="890">
      <c r="L890" s="10"/>
      <c r="R890" s="1"/>
    </row>
    <row r="891">
      <c r="L891" s="10"/>
      <c r="R891" s="1"/>
    </row>
    <row r="892">
      <c r="L892" s="10"/>
      <c r="R892" s="1"/>
    </row>
    <row r="893">
      <c r="L893" s="10"/>
      <c r="R893" s="1"/>
    </row>
    <row r="894">
      <c r="L894" s="10"/>
      <c r="R894" s="1"/>
    </row>
    <row r="895">
      <c r="L895" s="10"/>
      <c r="R895" s="1"/>
    </row>
    <row r="896">
      <c r="L896" s="10"/>
      <c r="R896" s="1"/>
    </row>
    <row r="897">
      <c r="L897" s="10"/>
      <c r="R897" s="1"/>
    </row>
    <row r="898">
      <c r="L898" s="10"/>
      <c r="R898" s="1"/>
    </row>
    <row r="899">
      <c r="L899" s="10"/>
      <c r="R899" s="1"/>
    </row>
    <row r="900">
      <c r="L900" s="10"/>
      <c r="R900" s="1"/>
    </row>
    <row r="901">
      <c r="L901" s="10"/>
      <c r="R901" s="1"/>
    </row>
    <row r="902">
      <c r="L902" s="10"/>
      <c r="R902" s="1"/>
    </row>
    <row r="903">
      <c r="L903" s="10"/>
      <c r="R903" s="1"/>
    </row>
    <row r="904">
      <c r="L904" s="10"/>
      <c r="R904" s="1"/>
    </row>
    <row r="905">
      <c r="L905" s="10"/>
      <c r="R905" s="1"/>
    </row>
    <row r="906">
      <c r="L906" s="10"/>
      <c r="R906" s="1"/>
    </row>
    <row r="907">
      <c r="L907" s="10"/>
      <c r="R907" s="1"/>
    </row>
    <row r="908">
      <c r="L908" s="10"/>
      <c r="R908" s="1"/>
    </row>
    <row r="909">
      <c r="L909" s="10"/>
      <c r="R909" s="1"/>
    </row>
    <row r="910">
      <c r="L910" s="10"/>
      <c r="R910" s="1"/>
    </row>
    <row r="911">
      <c r="L911" s="10"/>
      <c r="R911" s="1"/>
    </row>
    <row r="912">
      <c r="L912" s="10"/>
      <c r="R912" s="1"/>
    </row>
    <row r="913">
      <c r="L913" s="10"/>
      <c r="R913" s="1"/>
    </row>
    <row r="914">
      <c r="L914" s="10"/>
      <c r="R914" s="1"/>
    </row>
    <row r="915">
      <c r="L915" s="10"/>
      <c r="R915" s="1"/>
    </row>
    <row r="916">
      <c r="L916" s="10"/>
      <c r="R916" s="1"/>
    </row>
    <row r="917">
      <c r="L917" s="10"/>
      <c r="R917" s="1"/>
    </row>
    <row r="918">
      <c r="L918" s="10"/>
      <c r="R918" s="1"/>
    </row>
    <row r="919">
      <c r="L919" s="10"/>
      <c r="R919" s="1"/>
    </row>
    <row r="920">
      <c r="L920" s="10"/>
      <c r="R920" s="1"/>
    </row>
    <row r="921">
      <c r="L921" s="10"/>
      <c r="R921" s="1"/>
    </row>
    <row r="922">
      <c r="L922" s="10"/>
      <c r="R922" s="1"/>
    </row>
    <row r="923">
      <c r="L923" s="10"/>
      <c r="R923" s="1"/>
    </row>
    <row r="924">
      <c r="L924" s="10"/>
      <c r="R924" s="1"/>
    </row>
    <row r="925">
      <c r="L925" s="10"/>
      <c r="R925" s="1"/>
    </row>
    <row r="926">
      <c r="L926" s="10"/>
      <c r="R926" s="1"/>
    </row>
    <row r="927">
      <c r="L927" s="10"/>
      <c r="R927" s="1"/>
    </row>
    <row r="928">
      <c r="L928" s="10"/>
      <c r="R928" s="1"/>
    </row>
    <row r="929">
      <c r="L929" s="10"/>
      <c r="R929" s="1"/>
    </row>
    <row r="930">
      <c r="L930" s="10"/>
      <c r="R930" s="1"/>
    </row>
    <row r="931">
      <c r="L931" s="10"/>
      <c r="R931" s="1"/>
    </row>
    <row r="932">
      <c r="L932" s="10"/>
      <c r="R932" s="1"/>
    </row>
    <row r="933">
      <c r="L933" s="10"/>
      <c r="R933" s="1"/>
    </row>
    <row r="934">
      <c r="L934" s="10"/>
      <c r="R934" s="1"/>
    </row>
    <row r="935">
      <c r="L935" s="10"/>
      <c r="R935" s="1"/>
    </row>
    <row r="936">
      <c r="L936" s="10"/>
      <c r="R936" s="1"/>
    </row>
    <row r="937">
      <c r="L937" s="10"/>
      <c r="R937" s="1"/>
    </row>
    <row r="938">
      <c r="L938" s="10"/>
      <c r="R938" s="1"/>
    </row>
    <row r="939">
      <c r="L939" s="10"/>
      <c r="R939" s="1"/>
    </row>
    <row r="940">
      <c r="L940" s="10"/>
      <c r="R940" s="1"/>
    </row>
    <row r="941">
      <c r="L941" s="10"/>
      <c r="R941" s="1"/>
    </row>
    <row r="942">
      <c r="L942" s="10"/>
      <c r="R942" s="1"/>
    </row>
    <row r="943">
      <c r="L943" s="10"/>
      <c r="R943" s="1"/>
    </row>
    <row r="944">
      <c r="L944" s="10"/>
      <c r="R944" s="1"/>
    </row>
    <row r="945">
      <c r="L945" s="10"/>
      <c r="R945" s="1"/>
    </row>
    <row r="946">
      <c r="L946" s="10"/>
      <c r="R946" s="1"/>
    </row>
    <row r="947">
      <c r="L947" s="10"/>
      <c r="R947" s="1"/>
    </row>
    <row r="948">
      <c r="L948" s="10"/>
      <c r="R948" s="1"/>
    </row>
    <row r="949">
      <c r="L949" s="10"/>
      <c r="R949" s="1"/>
    </row>
    <row r="950">
      <c r="L950" s="10"/>
      <c r="R950" s="1"/>
    </row>
    <row r="951">
      <c r="L951" s="10"/>
      <c r="R951" s="1"/>
    </row>
    <row r="952">
      <c r="L952" s="10"/>
      <c r="R952" s="1"/>
    </row>
    <row r="953">
      <c r="L953" s="10"/>
      <c r="R953" s="1"/>
    </row>
    <row r="954">
      <c r="L954" s="10"/>
      <c r="R954" s="1"/>
    </row>
    <row r="955">
      <c r="L955" s="10"/>
      <c r="R955" s="1"/>
    </row>
    <row r="956">
      <c r="L956" s="10"/>
      <c r="R956" s="1"/>
    </row>
    <row r="957">
      <c r="L957" s="10"/>
      <c r="R957" s="1"/>
    </row>
    <row r="958">
      <c r="L958" s="10"/>
      <c r="R958" s="1"/>
    </row>
    <row r="959">
      <c r="L959" s="10"/>
      <c r="R959" s="1"/>
    </row>
    <row r="960">
      <c r="L960" s="10"/>
      <c r="R960" s="1"/>
    </row>
    <row r="961">
      <c r="L961" s="10"/>
      <c r="R961" s="1"/>
    </row>
    <row r="962">
      <c r="L962" s="10"/>
      <c r="R962" s="1"/>
    </row>
    <row r="963">
      <c r="L963" s="10"/>
      <c r="R963" s="1"/>
    </row>
    <row r="964">
      <c r="L964" s="10"/>
      <c r="R964" s="1"/>
    </row>
    <row r="965">
      <c r="L965" s="10"/>
      <c r="R965" s="1"/>
    </row>
    <row r="966">
      <c r="L966" s="10"/>
      <c r="R966" s="1"/>
    </row>
    <row r="967">
      <c r="L967" s="10"/>
      <c r="R967" s="1"/>
    </row>
    <row r="968">
      <c r="L968" s="10"/>
      <c r="R968" s="1"/>
    </row>
    <row r="969">
      <c r="L969" s="10"/>
      <c r="R969" s="1"/>
    </row>
    <row r="970">
      <c r="L970" s="10"/>
      <c r="R970" s="1"/>
    </row>
    <row r="971">
      <c r="L971" s="10"/>
      <c r="R971" s="1"/>
    </row>
    <row r="972">
      <c r="L972" s="10"/>
      <c r="R972" s="1"/>
    </row>
    <row r="973">
      <c r="L973" s="10"/>
      <c r="R973" s="1"/>
    </row>
    <row r="974">
      <c r="L974" s="10"/>
      <c r="R974" s="1"/>
    </row>
    <row r="975">
      <c r="L975" s="10"/>
      <c r="R975" s="1"/>
    </row>
    <row r="976">
      <c r="L976" s="10"/>
      <c r="R976" s="1"/>
    </row>
    <row r="977">
      <c r="L977" s="10"/>
      <c r="R977" s="1"/>
    </row>
    <row r="978">
      <c r="L978" s="10"/>
      <c r="R978" s="1"/>
    </row>
    <row r="979">
      <c r="L979" s="10"/>
      <c r="R979" s="1"/>
    </row>
    <row r="980">
      <c r="L980" s="10"/>
      <c r="R980" s="1"/>
    </row>
    <row r="981">
      <c r="L981" s="10"/>
      <c r="R981" s="1"/>
    </row>
    <row r="982">
      <c r="L982" s="10"/>
      <c r="R982" s="1"/>
    </row>
    <row r="983">
      <c r="L983" s="10"/>
      <c r="R983" s="1"/>
    </row>
    <row r="984">
      <c r="L984" s="10"/>
      <c r="R984" s="1"/>
    </row>
    <row r="985">
      <c r="L985" s="10"/>
      <c r="R985" s="1"/>
    </row>
    <row r="986">
      <c r="L986" s="10"/>
      <c r="R986" s="1"/>
    </row>
    <row r="987">
      <c r="L987" s="10"/>
      <c r="R987" s="1"/>
    </row>
    <row r="988">
      <c r="L988" s="10"/>
      <c r="R988" s="1"/>
    </row>
    <row r="989">
      <c r="L989" s="10"/>
      <c r="R989" s="1"/>
    </row>
    <row r="990">
      <c r="L990" s="10"/>
      <c r="R990" s="1"/>
    </row>
    <row r="991">
      <c r="L991" s="10"/>
      <c r="R991" s="1"/>
    </row>
    <row r="992">
      <c r="L992" s="10"/>
      <c r="R992" s="1"/>
    </row>
    <row r="993">
      <c r="L993" s="10"/>
      <c r="R993" s="1"/>
    </row>
    <row r="994">
      <c r="L994" s="10"/>
      <c r="R994" s="1"/>
    </row>
    <row r="995">
      <c r="L995" s="10"/>
      <c r="R995" s="1"/>
    </row>
    <row r="996">
      <c r="L996" s="10"/>
      <c r="R996" s="1"/>
    </row>
    <row r="997">
      <c r="L997" s="10"/>
      <c r="R997" s="1"/>
    </row>
    <row r="998">
      <c r="L998" s="10"/>
      <c r="R998" s="1"/>
    </row>
    <row r="999">
      <c r="L999" s="10"/>
      <c r="R999" s="1"/>
    </row>
    <row r="1000">
      <c r="L1000" s="10"/>
      <c r="R1000" s="1"/>
    </row>
  </sheetData>
  <autoFilter ref="$A$1:$AB$109">
    <sortState ref="A1:AB109">
      <sortCondition ref="B1:B10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31.17029257314329</v>
      </c>
      <c r="B1" s="1">
        <v>26.303127506014434</v>
      </c>
      <c r="C1" s="1">
        <v>17.602190494817133</v>
      </c>
    </row>
    <row r="2">
      <c r="A2" s="1">
        <v>8.987803930707683</v>
      </c>
      <c r="B2" s="1">
        <v>10.602389506224414</v>
      </c>
      <c r="C2" s="1">
        <v>11.83833116036506</v>
      </c>
    </row>
    <row r="3">
      <c r="A3" s="1">
        <v>42.99966744263386</v>
      </c>
      <c r="B3" s="1">
        <v>37.32669747600427</v>
      </c>
      <c r="C3" s="1">
        <v>23.241835303546384</v>
      </c>
    </row>
    <row r="4">
      <c r="A4" s="1">
        <v>23.75167186803388</v>
      </c>
      <c r="B4" s="1">
        <v>24.971163632251496</v>
      </c>
      <c r="C4" s="1">
        <v>22.907596317835615</v>
      </c>
    </row>
    <row r="5">
      <c r="A5" s="1">
        <v>45.17226992248403</v>
      </c>
      <c r="B5" s="1">
        <v>40.02381279479782</v>
      </c>
      <c r="C5" s="1">
        <v>36.171662125340596</v>
      </c>
    </row>
    <row r="6">
      <c r="A6" s="1">
        <v>23.967123103094</v>
      </c>
      <c r="B6" s="1">
        <v>26.99632878884503</v>
      </c>
      <c r="C6" s="1">
        <v>21.682400126101196</v>
      </c>
    </row>
    <row r="7">
      <c r="A7" s="1">
        <v>50.48284364084652</v>
      </c>
      <c r="B7" s="1">
        <v>47.419604138937785</v>
      </c>
      <c r="C7" s="1">
        <v>36.09883081618456</v>
      </c>
    </row>
    <row r="8">
      <c r="A8" s="1">
        <v>21.568942328923864</v>
      </c>
      <c r="B8" s="1">
        <v>27.643508164394103</v>
      </c>
      <c r="C8" s="1">
        <v>26.063388461751202</v>
      </c>
    </row>
    <row r="9">
      <c r="A9" s="1">
        <v>24.545016851227732</v>
      </c>
      <c r="B9" s="1">
        <v>52.41379310344828</v>
      </c>
      <c r="C9" s="1">
        <v>64.40057775637939</v>
      </c>
    </row>
    <row r="11">
      <c r="A11" s="1">
        <f>SUM(A1:A9)</f>
        <v>272.6456317</v>
      </c>
      <c r="B11" s="1">
        <f t="shared" ref="B11:C11" si="1">SUM(B1:B10)</f>
        <v>293.7004251</v>
      </c>
      <c r="C11" s="1">
        <f t="shared" si="1"/>
        <v>260.0068126</v>
      </c>
    </row>
    <row r="12">
      <c r="A12" s="1">
        <f t="shared" ref="A12:C12" si="2">AVERAGE(A1:A9)</f>
        <v>30.29395907</v>
      </c>
      <c r="B12" s="1">
        <f t="shared" si="2"/>
        <v>32.63338057</v>
      </c>
      <c r="C12" s="1">
        <f t="shared" si="2"/>
        <v>28.88964584</v>
      </c>
    </row>
  </sheetData>
  <drawing r:id="rId1"/>
</worksheet>
</file>